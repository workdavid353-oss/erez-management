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ferber\Downloads\"/>
    </mc:Choice>
  </mc:AlternateContent>
  <xr:revisionPtr revIDLastSave="0" documentId="13_ncr:1_{C579C55A-BD39-4899-A941-19F14790EF0D}" xr6:coauthVersionLast="47" xr6:coauthVersionMax="47" xr10:uidLastSave="{00000000-0000-0000-0000-000000000000}"/>
  <bookViews>
    <workbookView xWindow="-108" yWindow="-108" windowWidth="23256" windowHeight="13896" activeTab="4" xr2:uid="{00000000-000D-0000-FFFF-FFFF00000000}"/>
  </bookViews>
  <sheets>
    <sheet name="ענת" sheetId="6" r:id="rId1"/>
    <sheet name="דף ראשי" sheetId="1" r:id="rId2"/>
    <sheet name="ארז" sheetId="2" r:id="rId3"/>
    <sheet name="הדר" sheetId="3" r:id="rId4"/>
    <sheet name="אפרת" sheetId="4" r:id="rId5"/>
  </sheets>
  <definedNames>
    <definedName name="_xlnm._FilterDatabase" localSheetId="1" hidden="1">'דף ראשי'!$A$2:$I$32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2" i="1" l="1"/>
  <c r="H32" i="1"/>
  <c r="G32" i="1"/>
  <c r="F32" i="1"/>
  <c r="E32" i="1"/>
  <c r="I31" i="1"/>
  <c r="H31" i="1"/>
  <c r="G31" i="1"/>
  <c r="F31" i="1"/>
  <c r="E31" i="1"/>
  <c r="I30" i="1"/>
  <c r="H30" i="1"/>
  <c r="G30" i="1"/>
  <c r="F30" i="1"/>
  <c r="E30" i="1"/>
  <c r="I29" i="1"/>
  <c r="H29" i="1"/>
  <c r="G29" i="1"/>
  <c r="F29" i="1"/>
  <c r="E29" i="1"/>
  <c r="I28" i="1"/>
  <c r="H28" i="1"/>
  <c r="G28" i="1"/>
  <c r="F28" i="1"/>
  <c r="E28" i="1"/>
  <c r="I27" i="1"/>
  <c r="H27" i="1"/>
  <c r="G27" i="1"/>
  <c r="F27" i="1"/>
  <c r="E27" i="1"/>
  <c r="I26" i="1"/>
  <c r="H26" i="1"/>
  <c r="G26" i="1"/>
  <c r="F26" i="1"/>
  <c r="E26" i="1"/>
  <c r="I25" i="1"/>
  <c r="H25" i="1"/>
  <c r="G25" i="1"/>
  <c r="F25" i="1"/>
  <c r="E25" i="1"/>
  <c r="I24" i="1"/>
  <c r="H24" i="1"/>
  <c r="G24" i="1"/>
  <c r="F24" i="1"/>
  <c r="E24" i="1"/>
  <c r="I23" i="1"/>
  <c r="H23" i="1"/>
  <c r="G23" i="1"/>
  <c r="F23" i="1"/>
  <c r="E23" i="1"/>
  <c r="I22" i="1"/>
  <c r="H22" i="1"/>
  <c r="G22" i="1"/>
  <c r="F22" i="1"/>
  <c r="E22" i="1"/>
  <c r="I21" i="1"/>
  <c r="H21" i="1"/>
  <c r="G21" i="1"/>
  <c r="F21" i="1"/>
  <c r="E21" i="1"/>
  <c r="I20" i="1"/>
  <c r="H20" i="1"/>
  <c r="G20" i="1"/>
  <c r="F20" i="1"/>
  <c r="E20" i="1"/>
  <c r="I19" i="1"/>
  <c r="H19" i="1"/>
  <c r="G19" i="1"/>
  <c r="F19" i="1"/>
  <c r="E19" i="1"/>
  <c r="I18" i="1"/>
  <c r="H18" i="1"/>
  <c r="G18" i="1"/>
  <c r="F18" i="1"/>
  <c r="E18" i="1"/>
  <c r="I17" i="1"/>
  <c r="H17" i="1"/>
  <c r="G17" i="1"/>
  <c r="F17" i="1"/>
  <c r="E17" i="1"/>
  <c r="I16" i="1"/>
  <c r="H16" i="1"/>
  <c r="G16" i="1"/>
  <c r="F16" i="1"/>
  <c r="E16" i="1"/>
  <c r="I15" i="1"/>
  <c r="H15" i="1"/>
  <c r="G15" i="1"/>
  <c r="F15" i="1"/>
  <c r="E15" i="1"/>
  <c r="I14" i="1"/>
  <c r="H14" i="1"/>
  <c r="G14" i="1"/>
  <c r="F14" i="1"/>
  <c r="E14" i="1"/>
  <c r="I13" i="1"/>
  <c r="H13" i="1"/>
  <c r="G13" i="1"/>
  <c r="F13" i="1"/>
  <c r="E13" i="1"/>
  <c r="I12" i="1"/>
  <c r="H12" i="1"/>
  <c r="G12" i="1"/>
  <c r="F12" i="1"/>
  <c r="E12" i="1"/>
  <c r="I11" i="1"/>
  <c r="H11" i="1"/>
  <c r="G11" i="1"/>
  <c r="F11" i="1"/>
  <c r="E11" i="1"/>
  <c r="I10" i="1"/>
  <c r="H10" i="1"/>
  <c r="G10" i="1"/>
  <c r="F10" i="1"/>
  <c r="E10" i="1"/>
  <c r="I9" i="1"/>
  <c r="H9" i="1"/>
  <c r="G9" i="1"/>
  <c r="F9" i="1"/>
  <c r="E9" i="1"/>
  <c r="I8" i="1"/>
  <c r="H8" i="1"/>
  <c r="G8" i="1"/>
  <c r="F8" i="1"/>
  <c r="E8" i="1"/>
  <c r="I7" i="1"/>
  <c r="H7" i="1"/>
  <c r="G7" i="1"/>
  <c r="F7" i="1"/>
  <c r="E7" i="1"/>
  <c r="I6" i="1"/>
  <c r="H6" i="1"/>
  <c r="G6" i="1"/>
  <c r="F6" i="1"/>
  <c r="E6" i="1"/>
  <c r="I5" i="1"/>
  <c r="H5" i="1"/>
  <c r="G5" i="1"/>
  <c r="F5" i="1"/>
  <c r="E5" i="1"/>
  <c r="I4" i="1"/>
  <c r="H4" i="1"/>
  <c r="G4" i="1"/>
  <c r="F4" i="1"/>
  <c r="E4" i="1"/>
  <c r="I3" i="1"/>
  <c r="H3" i="1"/>
  <c r="G3" i="1"/>
  <c r="F3" i="1"/>
  <c r="E3" i="1"/>
</calcChain>
</file>

<file path=xl/sharedStrings.xml><?xml version="1.0" encoding="utf-8"?>
<sst xmlns="http://schemas.openxmlformats.org/spreadsheetml/2006/main" count="107" uniqueCount="49">
  <si>
    <t>📁  מערכת ניהול תיקים – דף ראשי</t>
  </si>
  <si>
    <t>שם התיק</t>
  </si>
  <si>
    <t>נושא התיק</t>
  </si>
  <si>
    <t>קטגוריה</t>
  </si>
  <si>
    <t>מידע נוסף</t>
  </si>
  <si>
    <t>ארז</t>
  </si>
  <si>
    <t>הדר</t>
  </si>
  <si>
    <t>אפרת</t>
  </si>
  <si>
    <t>עודכן לאחרונה</t>
  </si>
  <si>
    <t>עודכן ע"י</t>
  </si>
  <si>
    <t>ניהול משימות – ארז</t>
  </si>
  <si>
    <t>סוג משימה</t>
  </si>
  <si>
    <t>מידע כללי על התיק</t>
  </si>
  <si>
    <t>עדכון אחרון</t>
  </si>
  <si>
    <t>חיובים (₪)</t>
  </si>
  <si>
    <t>סטטוס</t>
  </si>
  <si>
    <t>עדיפות</t>
  </si>
  <si>
    <t>מועד יעד</t>
  </si>
  <si>
    <t>הערות</t>
  </si>
  <si>
    <t>← חזרה לדף ראשי</t>
  </si>
  <si>
    <t>ניהול משימות – הדר</t>
  </si>
  <si>
    <t>ניהול משימות – אפרת</t>
  </si>
  <si>
    <t>תיק1</t>
  </si>
  <si>
    <t>תיק2</t>
  </si>
  <si>
    <t>תיק3</t>
  </si>
  <si>
    <t>בטיפול</t>
  </si>
  <si>
    <t>בוצע</t>
  </si>
  <si>
    <t>חוזים</t>
  </si>
  <si>
    <t>ייעוץ משפטי</t>
  </si>
  <si>
    <t>נדלן</t>
  </si>
  <si>
    <t>ענת  –  מנהלת אופרציה</t>
  </si>
  <si>
    <t>שם תיק</t>
  </si>
  <si>
    <t>נושא תיק</t>
  </si>
  <si>
    <t>עובד מוקצה</t>
  </si>
  <si>
    <t>הצעת מחיר ראשונית (₪)</t>
  </si>
  <si>
    <t>שווי תיק כולל (₪)</t>
  </si>
  <si>
    <t>זמן עבודה (שע׳)</t>
  </si>
  <si>
    <t>הצעת לקוח (₪)</t>
  </si>
  <si>
    <t>סה"כ נוצל (₪)</t>
  </si>
  <si>
    <t>תיק 6</t>
  </si>
  <si>
    <t>חדש</t>
  </si>
  <si>
    <t>הוקצה ע"י ענת - 29/04/2026</t>
  </si>
  <si>
    <t>מס׳ סידורי</t>
  </si>
  <si>
    <t>מס׳ תיק בבית משפט</t>
  </si>
  <si>
    <t>jjgjgsi</t>
  </si>
  <si>
    <t>bdki</t>
  </si>
  <si>
    <t>הוקצה ע"י ענת – 29/04/2026</t>
  </si>
  <si>
    <t>נגלן</t>
  </si>
  <si>
    <t>תיק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</si>
</sst>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\ \₪"/>
    <numFmt numFmtId="165" formatCode="#,##0\ &quot;₪&quot;"/>
    <numFmt numFmtId="166" formatCode="0.0"/>
  </numFmts>
  <fonts count="9" x14ac:knownFonts="1">
    <font>
      <sz val="11"/>
      <color theme="1"/>
      <name val="Calibri"/>
      <family val="2"/>
      <scheme val="minor"/>
    </font>
    <font>
      <b/>
      <sz val="16"/>
      <color rgb="FFFFFFFF"/>
      <name val="Calibri"/>
    </font>
    <font>
      <b/>
      <sz val="10"/>
      <color rgb="FFFFFFFF"/>
      <name val="Calibri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1"/>
      <color rgb="FFFFFFFF"/>
      <name val="Calibri"/>
    </font>
    <font>
      <u/>
      <sz val="11"/>
      <color theme="10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9"/>
      <color rgb="FFFFFFFF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2E75B6"/>
      </patternFill>
    </fill>
    <fill>
      <patternFill patternType="solid">
        <fgColor rgb="FF548235"/>
      </patternFill>
    </fill>
    <fill>
      <patternFill patternType="solid">
        <fgColor rgb="FFC55A11"/>
      </patternFill>
    </fill>
    <fill>
      <patternFill patternType="solid">
        <fgColor rgb="FFFFFFFF"/>
      </patternFill>
    </fill>
    <fill>
      <patternFill patternType="solid">
        <fgColor rgb="FFF0F4FB"/>
      </patternFill>
    </fill>
    <fill>
      <patternFill patternType="solid">
        <fgColor rgb="FFDDEEFF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404040"/>
      </patternFill>
    </fill>
    <fill>
      <patternFill patternType="solid">
        <fgColor rgb="FF500078"/>
        <bgColor indexed="64"/>
      </patternFill>
    </fill>
    <fill>
      <patternFill patternType="solid">
        <fgColor rgb="FF3C005A"/>
        <bgColor indexed="64"/>
      </patternFill>
    </fill>
    <fill>
      <patternFill patternType="solid">
        <fgColor rgb="FFF0E4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B4"/>
        <bgColor indexed="64"/>
      </patternFill>
    </fill>
  </fills>
  <borders count="9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B4B4B4"/>
      </left>
      <right/>
      <top style="thin">
        <color rgb="FFB4B4B4"/>
      </top>
      <bottom/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7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6" borderId="2" xfId="0" applyFill="1" applyBorder="1" applyAlignment="1">
      <alignment horizontal="right" vertical="center"/>
    </xf>
    <xf numFmtId="0" fontId="0" fillId="6" borderId="2" xfId="0" applyFill="1" applyBorder="1" applyAlignment="1">
      <alignment horizontal="center" vertical="center"/>
    </xf>
    <xf numFmtId="22" fontId="0" fillId="6" borderId="2" xfId="0" applyNumberFormat="1" applyFill="1" applyBorder="1" applyAlignment="1">
      <alignment horizontal="center" vertical="center"/>
    </xf>
    <xf numFmtId="0" fontId="0" fillId="7" borderId="2" xfId="0" applyFill="1" applyBorder="1" applyAlignment="1">
      <alignment horizontal="right" vertical="center"/>
    </xf>
    <xf numFmtId="0" fontId="0" fillId="8" borderId="2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22" fontId="0" fillId="7" borderId="2" xfId="0" applyNumberForma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64" fontId="0" fillId="6" borderId="2" xfId="0" applyNumberFormat="1" applyFill="1" applyBorder="1" applyAlignment="1">
      <alignment horizontal="center" vertical="center"/>
    </xf>
    <xf numFmtId="0" fontId="0" fillId="8" borderId="2" xfId="0" applyFill="1" applyBorder="1" applyAlignment="1">
      <alignment horizontal="right" vertical="center"/>
    </xf>
    <xf numFmtId="22" fontId="0" fillId="8" borderId="2" xfId="0" applyNumberFormat="1" applyFill="1" applyBorder="1" applyAlignment="1">
      <alignment horizontal="center" vertical="center"/>
    </xf>
    <xf numFmtId="164" fontId="0" fillId="8" borderId="2" xfId="0" applyNumberForma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right" vertical="center"/>
    </xf>
    <xf numFmtId="22" fontId="0" fillId="9" borderId="2" xfId="0" applyNumberFormat="1" applyFill="1" applyBorder="1" applyAlignment="1">
      <alignment horizontal="center" vertical="center"/>
    </xf>
    <xf numFmtId="164" fontId="0" fillId="9" borderId="2" xfId="0" applyNumberForma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0" fillId="10" borderId="2" xfId="0" applyFill="1" applyBorder="1" applyAlignment="1">
      <alignment horizontal="right" vertical="center"/>
    </xf>
    <xf numFmtId="22" fontId="0" fillId="10" borderId="2" xfId="0" applyNumberFormat="1" applyFill="1" applyBorder="1" applyAlignment="1">
      <alignment horizontal="center" vertical="center"/>
    </xf>
    <xf numFmtId="164" fontId="0" fillId="10" borderId="2" xfId="0" applyNumberFormat="1" applyFill="1" applyBorder="1" applyAlignment="1">
      <alignment horizontal="center" vertical="center"/>
    </xf>
    <xf numFmtId="0" fontId="6" fillId="4" borderId="1" xfId="1" applyFill="1" applyBorder="1" applyAlignment="1">
      <alignment horizontal="center" vertical="center" wrapText="1"/>
    </xf>
    <xf numFmtId="0" fontId="6" fillId="3" borderId="1" xfId="1" applyFill="1" applyBorder="1" applyAlignment="1">
      <alignment horizontal="center" vertical="center" wrapText="1"/>
    </xf>
    <xf numFmtId="0" fontId="6" fillId="5" borderId="1" xfId="1" applyFill="1" applyBorder="1" applyAlignment="1">
      <alignment horizontal="center" vertical="center" wrapText="1"/>
    </xf>
    <xf numFmtId="0" fontId="0" fillId="13" borderId="0" xfId="0" applyFill="1"/>
    <xf numFmtId="0" fontId="8" fillId="12" borderId="3" xfId="0" applyFont="1" applyFill="1" applyBorder="1" applyAlignment="1">
      <alignment horizontal="center" vertical="center" wrapText="1"/>
    </xf>
    <xf numFmtId="0" fontId="0" fillId="14" borderId="4" xfId="0" applyFill="1" applyBorder="1" applyAlignment="1">
      <alignment horizontal="right" vertical="center"/>
    </xf>
    <xf numFmtId="0" fontId="0" fillId="14" borderId="4" xfId="0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 wrapText="1"/>
    </xf>
    <xf numFmtId="0" fontId="0" fillId="15" borderId="4" xfId="0" applyFill="1" applyBorder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6" xfId="0" applyFill="1" applyBorder="1" applyAlignment="1">
      <alignment horizontal="right" vertical="center"/>
    </xf>
    <xf numFmtId="0" fontId="0" fillId="15" borderId="4" xfId="0" applyFill="1" applyBorder="1" applyAlignment="1">
      <alignment horizontal="center" vertical="center"/>
    </xf>
    <xf numFmtId="165" fontId="0" fillId="14" borderId="4" xfId="0" applyNumberFormat="1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165" fontId="0" fillId="15" borderId="5" xfId="0" applyNumberFormat="1" applyFill="1" applyBorder="1" applyAlignment="1">
      <alignment horizontal="center" vertical="center"/>
    </xf>
    <xf numFmtId="166" fontId="0" fillId="14" borderId="4" xfId="0" applyNumberFormat="1" applyFill="1" applyBorder="1" applyAlignment="1">
      <alignment horizontal="center" vertical="center"/>
    </xf>
    <xf numFmtId="166" fontId="0" fillId="15" borderId="5" xfId="0" applyNumberFormat="1" applyFill="1" applyBorder="1" applyAlignment="1">
      <alignment horizontal="center" vertical="center"/>
    </xf>
    <xf numFmtId="22" fontId="0" fillId="14" borderId="4" xfId="0" applyNumberFormat="1" applyFill="1" applyBorder="1" applyAlignment="1">
      <alignment horizontal="center" vertical="center"/>
    </xf>
    <xf numFmtId="22" fontId="0" fillId="15" borderId="5" xfId="0" applyNumberFormat="1" applyFill="1" applyBorder="1" applyAlignment="1">
      <alignment horizontal="center" vertical="center"/>
    </xf>
    <xf numFmtId="0" fontId="0" fillId="14" borderId="8" xfId="0" applyFill="1" applyBorder="1" applyAlignment="1">
      <alignment horizontal="right" vertical="center"/>
    </xf>
    <xf numFmtId="165" fontId="0" fillId="15" borderId="4" xfId="0" applyNumberFormat="1" applyFill="1" applyBorder="1" applyAlignment="1">
      <alignment horizontal="center" vertical="center"/>
    </xf>
    <xf numFmtId="166" fontId="0" fillId="15" borderId="4" xfId="0" applyNumberFormat="1" applyFill="1" applyBorder="1" applyAlignment="1">
      <alignment horizontal="center" vertical="center"/>
    </xf>
    <xf numFmtId="22" fontId="0" fillId="15" borderId="4" xfId="0" applyNumberFormat="1" applyFill="1" applyBorder="1" applyAlignment="1">
      <alignment horizontal="center" vertical="center"/>
    </xf>
    <xf numFmtId="0" fontId="0" fillId="15" borderId="8" xfId="0" applyFill="1" applyBorder="1" applyAlignment="1">
      <alignment horizontal="right" vertical="center"/>
    </xf>
    <xf numFmtId="0" fontId="0" fillId="16" borderId="0" xfId="0" applyFill="1"/>
    <xf numFmtId="22" fontId="0" fillId="16" borderId="0" xfId="0" applyNumberFormat="1" applyFill="1"/>
    <xf numFmtId="0" fontId="0" fillId="14" borderId="0" xfId="0" applyFill="1"/>
    <xf numFmtId="0" fontId="0" fillId="16" borderId="2" xfId="0" applyFill="1" applyBorder="1" applyAlignment="1">
      <alignment horizontal="right" vertical="center"/>
    </xf>
    <xf numFmtId="164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5" borderId="0" xfId="0" applyFill="1"/>
    <xf numFmtId="22" fontId="0" fillId="16" borderId="2" xfId="0" applyNumberFormat="1" applyFill="1" applyBorder="1" applyAlignment="1">
      <alignment horizontal="center" vertical="center"/>
    </xf>
    <xf numFmtId="0" fontId="0" fillId="15" borderId="2" xfId="0" applyFill="1" applyBorder="1" applyAlignment="1">
      <alignment horizontal="right" vertical="center"/>
    </xf>
    <xf numFmtId="22" fontId="0" fillId="15" borderId="2" xfId="0" applyNumberFormat="1" applyFill="1" applyBorder="1" applyAlignment="1">
      <alignment horizontal="center" vertical="center"/>
    </xf>
    <xf numFmtId="164" fontId="0" fillId="15" borderId="2" xfId="0" applyNumberFormat="1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0" fillId="0" borderId="0" xfId="0"/>
    <xf numFmtId="0" fontId="5" fillId="11" borderId="0" xfId="0" applyFont="1" applyFill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</xdr:row>
      <xdr:rowOff>50800</xdr:rowOff>
    </xdr:from>
    <xdr:to>
      <xdr:col>2</xdr:col>
      <xdr:colOff>462280</xdr:colOff>
      <xdr:row>1</xdr:row>
      <xdr:rowOff>431800</xdr:rowOff>
    </xdr:to>
    <xdr:sp macro="AddNewTas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C8E0DD0-17AC-D050-5B3D-49A6EB32F2C6}"/>
            </a:ext>
          </a:extLst>
        </xdr:cNvPr>
        <xdr:cNvSpPr/>
      </xdr:nvSpPr>
      <xdr:spPr>
        <a:xfrm>
          <a:off x="9994493600" y="607060"/>
          <a:ext cx="2413000" cy="381000"/>
        </a:xfrm>
        <a:prstGeom prst="roundRect">
          <a:avLst/>
        </a:prstGeom>
        <a:solidFill>
          <a:srgbClr val="500078"/>
        </a:solidFill>
        <a:ln w="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he-IL" sz="1000" b="1">
              <a:solidFill>
                <a:srgbClr val="FFFFFF"/>
              </a:solidFill>
            </a:rPr>
            <a:t>+ הוסף משימה חדשה</a:t>
          </a:r>
          <a:endParaRPr lang="en-IL" sz="1000" b="1">
            <a:solidFill>
              <a:srgbClr val="FFFFFF"/>
            </a:solidFill>
          </a:endParaRPr>
        </a:p>
      </xdr:txBody>
    </xdr:sp>
    <xdr:clientData/>
  </xdr:twoCellAnchor>
  <xdr:twoCellAnchor>
    <xdr:from>
      <xdr:col>3</xdr:col>
      <xdr:colOff>76200</xdr:colOff>
      <xdr:row>1</xdr:row>
      <xdr:rowOff>50800</xdr:rowOff>
    </xdr:from>
    <xdr:to>
      <xdr:col>4</xdr:col>
      <xdr:colOff>916940</xdr:colOff>
      <xdr:row>1</xdr:row>
      <xdr:rowOff>431800</xdr:rowOff>
    </xdr:to>
    <xdr:sp macro="SendStatusReques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B13AAB2-5566-CB53-1222-E4A8B16F1813}"/>
            </a:ext>
          </a:extLst>
        </xdr:cNvPr>
        <xdr:cNvSpPr/>
      </xdr:nvSpPr>
      <xdr:spPr>
        <a:xfrm>
          <a:off x="9990777580" y="607060"/>
          <a:ext cx="2540000" cy="381000"/>
        </a:xfrm>
        <a:prstGeom prst="roundRect">
          <a:avLst/>
        </a:prstGeom>
        <a:solidFill>
          <a:srgbClr val="B40000"/>
        </a:solidFill>
        <a:ln w="0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he-IL" sz="1000" b="1">
              <a:solidFill>
                <a:srgbClr val="FFFFFF"/>
              </a:solidFill>
            </a:rPr>
            <a:t>! שלח בקשת התייחסות</a:t>
          </a:r>
          <a:endParaRPr lang="en-IL" sz="1000" b="1">
            <a:solidFill>
              <a:srgbClr val="FFFFFF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F50DF-226E-4AB0-B5EA-3259FB6DA64D}">
  <sheetPr codeName="Sheet5"/>
  <dimension ref="A1:M33"/>
  <sheetViews>
    <sheetView rightToLeft="1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10.77734375" customWidth="1"/>
    <col min="2" max="2" width="18.77734375" customWidth="1"/>
    <col min="3" max="3" width="22.77734375" customWidth="1"/>
    <col min="4" max="4" width="24.77734375" customWidth="1"/>
    <col min="5" max="5" width="15.77734375" customWidth="1"/>
    <col min="6" max="6" width="22.77734375" customWidth="1"/>
    <col min="7" max="7" width="20.77734375" customWidth="1"/>
    <col min="8" max="8" width="14.77734375" customWidth="1"/>
    <col min="9" max="10" width="18.77734375" customWidth="1"/>
    <col min="11" max="11" width="14.77734375" customWidth="1"/>
    <col min="12" max="12" width="20.77734375" customWidth="1"/>
    <col min="13" max="13" width="26.77734375" customWidth="1"/>
  </cols>
  <sheetData>
    <row r="1" spans="1:13" ht="43.95" customHeight="1" x14ac:dyDescent="0.3">
      <c r="A1" s="63" t="s">
        <v>30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</row>
    <row r="2" spans="1:13" ht="37.950000000000003" customHeight="1" x14ac:dyDescent="0.3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</row>
    <row r="3" spans="1:13" ht="30" customHeight="1" x14ac:dyDescent="0.3">
      <c r="A3" s="28" t="s">
        <v>42</v>
      </c>
      <c r="B3" s="28" t="s">
        <v>43</v>
      </c>
      <c r="C3" s="28" t="s">
        <v>31</v>
      </c>
      <c r="D3" s="28" t="s">
        <v>32</v>
      </c>
      <c r="E3" s="28" t="s">
        <v>33</v>
      </c>
      <c r="F3" s="28" t="s">
        <v>34</v>
      </c>
      <c r="G3" s="28" t="s">
        <v>35</v>
      </c>
      <c r="H3" s="28" t="s">
        <v>36</v>
      </c>
      <c r="I3" s="28" t="s">
        <v>37</v>
      </c>
      <c r="J3" s="28" t="s">
        <v>38</v>
      </c>
      <c r="K3" s="28" t="s">
        <v>15</v>
      </c>
      <c r="L3" s="28" t="s">
        <v>8</v>
      </c>
      <c r="M3" s="31" t="s">
        <v>18</v>
      </c>
    </row>
    <row r="4" spans="1:13" s="50" customFormat="1" ht="22.05" customHeight="1" x14ac:dyDescent="0.3">
      <c r="A4" s="30">
        <v>1</v>
      </c>
      <c r="B4" s="29">
        <v>123456</v>
      </c>
      <c r="C4" s="29" t="s">
        <v>44</v>
      </c>
      <c r="D4" s="29" t="s">
        <v>45</v>
      </c>
      <c r="E4" s="30" t="s">
        <v>7</v>
      </c>
      <c r="F4" s="36">
        <v>100000</v>
      </c>
      <c r="G4" s="36"/>
      <c r="H4" s="39"/>
      <c r="I4" s="36"/>
      <c r="J4" s="36"/>
      <c r="K4" s="30" t="s">
        <v>40</v>
      </c>
      <c r="L4" s="41">
        <v>46141.56391203704</v>
      </c>
      <c r="M4" s="43"/>
    </row>
    <row r="5" spans="1:13" s="54" customFormat="1" ht="22.05" customHeight="1" x14ac:dyDescent="0.3">
      <c r="A5" s="35">
        <v>2</v>
      </c>
      <c r="B5" s="32"/>
      <c r="C5" s="32">
        <v>4</v>
      </c>
      <c r="D5" s="32" t="s">
        <v>47</v>
      </c>
      <c r="E5" s="35" t="s">
        <v>7</v>
      </c>
      <c r="F5" s="44">
        <v>5</v>
      </c>
      <c r="G5" s="44"/>
      <c r="H5" s="45"/>
      <c r="I5" s="44"/>
      <c r="J5" s="44"/>
      <c r="K5" s="35" t="s">
        <v>40</v>
      </c>
      <c r="L5" s="46">
        <v>46141.577708333331</v>
      </c>
      <c r="M5" s="47"/>
    </row>
    <row r="6" spans="1:13" s="50" customFormat="1" ht="22.05" customHeight="1" x14ac:dyDescent="0.3">
      <c r="A6" s="30">
        <v>3</v>
      </c>
      <c r="B6" s="29"/>
      <c r="C6" s="29" t="s">
        <v>48</v>
      </c>
      <c r="D6" s="29" t="s">
        <v>29</v>
      </c>
      <c r="E6" s="30" t="s">
        <v>7</v>
      </c>
      <c r="F6" s="36">
        <v>489000</v>
      </c>
      <c r="G6" s="36"/>
      <c r="H6" s="39"/>
      <c r="I6" s="36"/>
      <c r="J6" s="36"/>
      <c r="K6" s="30" t="s">
        <v>40</v>
      </c>
      <c r="L6" s="41">
        <v>46141.578819444447</v>
      </c>
      <c r="M6" s="43"/>
    </row>
    <row r="7" spans="1:13" ht="22.05" customHeight="1" x14ac:dyDescent="0.3">
      <c r="A7" s="35"/>
      <c r="B7" s="32"/>
      <c r="C7" s="32"/>
      <c r="D7" s="32"/>
      <c r="E7" s="35"/>
      <c r="F7" s="44"/>
      <c r="G7" s="44"/>
      <c r="H7" s="45"/>
      <c r="I7" s="44"/>
      <c r="J7" s="44"/>
      <c r="K7" s="35"/>
      <c r="L7" s="46"/>
      <c r="M7" s="47"/>
    </row>
    <row r="8" spans="1:13" ht="22.05" customHeight="1" x14ac:dyDescent="0.3">
      <c r="A8" s="30"/>
      <c r="B8" s="29"/>
      <c r="C8" s="29"/>
      <c r="D8" s="29"/>
      <c r="E8" s="30"/>
      <c r="F8" s="36"/>
      <c r="G8" s="36"/>
      <c r="H8" s="39"/>
      <c r="I8" s="36"/>
      <c r="J8" s="36"/>
      <c r="K8" s="30"/>
      <c r="L8" s="41"/>
      <c r="M8" s="43"/>
    </row>
    <row r="9" spans="1:13" ht="22.05" customHeight="1" x14ac:dyDescent="0.3">
      <c r="A9" s="35"/>
      <c r="B9" s="32"/>
      <c r="C9" s="32"/>
      <c r="D9" s="32"/>
      <c r="E9" s="35"/>
      <c r="F9" s="44"/>
      <c r="G9" s="44"/>
      <c r="H9" s="45"/>
      <c r="I9" s="44"/>
      <c r="J9" s="44"/>
      <c r="K9" s="35"/>
      <c r="L9" s="46"/>
      <c r="M9" s="47"/>
    </row>
    <row r="10" spans="1:13" ht="22.05" customHeight="1" x14ac:dyDescent="0.3">
      <c r="A10" s="30"/>
      <c r="B10" s="29"/>
      <c r="C10" s="29"/>
      <c r="D10" s="29"/>
      <c r="E10" s="30"/>
      <c r="F10" s="36"/>
      <c r="G10" s="36"/>
      <c r="H10" s="39"/>
      <c r="I10" s="36"/>
      <c r="J10" s="36"/>
      <c r="K10" s="30"/>
      <c r="L10" s="41"/>
      <c r="M10" s="43"/>
    </row>
    <row r="11" spans="1:13" ht="22.05" customHeight="1" x14ac:dyDescent="0.3">
      <c r="A11" s="35"/>
      <c r="B11" s="32"/>
      <c r="C11" s="32"/>
      <c r="D11" s="32"/>
      <c r="E11" s="35"/>
      <c r="F11" s="44"/>
      <c r="G11" s="44"/>
      <c r="H11" s="45"/>
      <c r="I11" s="44"/>
      <c r="J11" s="44"/>
      <c r="K11" s="35"/>
      <c r="L11" s="46"/>
      <c r="M11" s="47"/>
    </row>
    <row r="12" spans="1:13" ht="22.05" customHeight="1" x14ac:dyDescent="0.3">
      <c r="A12" s="30"/>
      <c r="B12" s="29"/>
      <c r="C12" s="29"/>
      <c r="D12" s="29"/>
      <c r="E12" s="30"/>
      <c r="F12" s="36"/>
      <c r="G12" s="36"/>
      <c r="H12" s="39"/>
      <c r="I12" s="36"/>
      <c r="J12" s="36"/>
      <c r="K12" s="30"/>
      <c r="L12" s="41"/>
      <c r="M12" s="43"/>
    </row>
    <row r="13" spans="1:13" ht="22.05" customHeight="1" x14ac:dyDescent="0.3">
      <c r="A13" s="35"/>
      <c r="B13" s="32"/>
      <c r="C13" s="32"/>
      <c r="D13" s="32"/>
      <c r="E13" s="35"/>
      <c r="F13" s="44"/>
      <c r="G13" s="44"/>
      <c r="H13" s="45"/>
      <c r="I13" s="44"/>
      <c r="J13" s="44"/>
      <c r="K13" s="35"/>
      <c r="L13" s="46"/>
      <c r="M13" s="47"/>
    </row>
    <row r="14" spans="1:13" ht="22.05" customHeight="1" x14ac:dyDescent="0.3">
      <c r="A14" s="30"/>
      <c r="B14" s="29"/>
      <c r="C14" s="29"/>
      <c r="D14" s="29"/>
      <c r="E14" s="30"/>
      <c r="F14" s="36"/>
      <c r="G14" s="36"/>
      <c r="H14" s="39"/>
      <c r="I14" s="36"/>
      <c r="J14" s="36"/>
      <c r="K14" s="30"/>
      <c r="L14" s="41"/>
      <c r="M14" s="43"/>
    </row>
    <row r="15" spans="1:13" ht="22.05" customHeight="1" x14ac:dyDescent="0.3">
      <c r="A15" s="35"/>
      <c r="B15" s="32"/>
      <c r="C15" s="32"/>
      <c r="D15" s="32"/>
      <c r="E15" s="35"/>
      <c r="F15" s="44"/>
      <c r="G15" s="44"/>
      <c r="H15" s="45"/>
      <c r="I15" s="44"/>
      <c r="J15" s="44"/>
      <c r="K15" s="35"/>
      <c r="L15" s="46"/>
      <c r="M15" s="47"/>
    </row>
    <row r="16" spans="1:13" ht="22.05" customHeight="1" x14ac:dyDescent="0.3">
      <c r="A16" s="30"/>
      <c r="B16" s="29"/>
      <c r="C16" s="29"/>
      <c r="D16" s="29"/>
      <c r="E16" s="30"/>
      <c r="F16" s="36"/>
      <c r="G16" s="36"/>
      <c r="H16" s="39"/>
      <c r="I16" s="36"/>
      <c r="J16" s="36"/>
      <c r="K16" s="30"/>
      <c r="L16" s="41"/>
      <c r="M16" s="43"/>
    </row>
    <row r="17" spans="1:13" ht="22.05" customHeight="1" x14ac:dyDescent="0.3">
      <c r="A17" s="35"/>
      <c r="B17" s="32"/>
      <c r="C17" s="32"/>
      <c r="D17" s="32"/>
      <c r="E17" s="35"/>
      <c r="F17" s="44"/>
      <c r="G17" s="44"/>
      <c r="H17" s="45"/>
      <c r="I17" s="44"/>
      <c r="J17" s="44"/>
      <c r="K17" s="35"/>
      <c r="L17" s="46"/>
      <c r="M17" s="47"/>
    </row>
    <row r="18" spans="1:13" ht="22.05" customHeight="1" x14ac:dyDescent="0.3">
      <c r="A18" s="30"/>
      <c r="B18" s="29"/>
      <c r="C18" s="29"/>
      <c r="D18" s="29"/>
      <c r="E18" s="30"/>
      <c r="F18" s="36"/>
      <c r="G18" s="36"/>
      <c r="H18" s="39"/>
      <c r="I18" s="36"/>
      <c r="J18" s="36"/>
      <c r="K18" s="30"/>
      <c r="L18" s="41"/>
      <c r="M18" s="43"/>
    </row>
    <row r="19" spans="1:13" ht="22.05" customHeight="1" x14ac:dyDescent="0.3">
      <c r="A19" s="35"/>
      <c r="B19" s="32"/>
      <c r="C19" s="32"/>
      <c r="D19" s="32"/>
      <c r="E19" s="35"/>
      <c r="F19" s="44"/>
      <c r="G19" s="44"/>
      <c r="H19" s="45"/>
      <c r="I19" s="44"/>
      <c r="J19" s="44"/>
      <c r="K19" s="35"/>
      <c r="L19" s="46"/>
      <c r="M19" s="47"/>
    </row>
    <row r="20" spans="1:13" ht="22.05" customHeight="1" x14ac:dyDescent="0.3">
      <c r="A20" s="30"/>
      <c r="B20" s="29"/>
      <c r="C20" s="29"/>
      <c r="D20" s="29"/>
      <c r="E20" s="30"/>
      <c r="F20" s="36"/>
      <c r="G20" s="36"/>
      <c r="H20" s="39"/>
      <c r="I20" s="36"/>
      <c r="J20" s="36"/>
      <c r="K20" s="30"/>
      <c r="L20" s="41"/>
      <c r="M20" s="43"/>
    </row>
    <row r="21" spans="1:13" ht="22.05" customHeight="1" x14ac:dyDescent="0.3">
      <c r="A21" s="35"/>
      <c r="B21" s="32"/>
      <c r="C21" s="32"/>
      <c r="D21" s="32"/>
      <c r="E21" s="35"/>
      <c r="F21" s="44"/>
      <c r="G21" s="44"/>
      <c r="H21" s="45"/>
      <c r="I21" s="44"/>
      <c r="J21" s="44"/>
      <c r="K21" s="35"/>
      <c r="L21" s="46"/>
      <c r="M21" s="47"/>
    </row>
    <row r="22" spans="1:13" ht="22.05" customHeight="1" x14ac:dyDescent="0.3">
      <c r="A22" s="30"/>
      <c r="B22" s="29"/>
      <c r="C22" s="29"/>
      <c r="D22" s="29"/>
      <c r="E22" s="30"/>
      <c r="F22" s="36"/>
      <c r="G22" s="36"/>
      <c r="H22" s="39"/>
      <c r="I22" s="36"/>
      <c r="J22" s="36"/>
      <c r="K22" s="30"/>
      <c r="L22" s="41"/>
      <c r="M22" s="43"/>
    </row>
    <row r="23" spans="1:13" ht="22.05" customHeight="1" x14ac:dyDescent="0.3">
      <c r="A23" s="35"/>
      <c r="B23" s="32"/>
      <c r="C23" s="32"/>
      <c r="D23" s="32"/>
      <c r="E23" s="35"/>
      <c r="F23" s="44"/>
      <c r="G23" s="44"/>
      <c r="H23" s="45"/>
      <c r="I23" s="44"/>
      <c r="J23" s="44"/>
      <c r="K23" s="35"/>
      <c r="L23" s="46"/>
      <c r="M23" s="47"/>
    </row>
    <row r="24" spans="1:13" ht="22.05" customHeight="1" x14ac:dyDescent="0.3">
      <c r="A24" s="30"/>
      <c r="B24" s="29"/>
      <c r="C24" s="29"/>
      <c r="D24" s="29"/>
      <c r="E24" s="30"/>
      <c r="F24" s="36"/>
      <c r="G24" s="36"/>
      <c r="H24" s="39"/>
      <c r="I24" s="36"/>
      <c r="J24" s="36"/>
      <c r="K24" s="30"/>
      <c r="L24" s="41"/>
      <c r="M24" s="43"/>
    </row>
    <row r="25" spans="1:13" ht="22.05" customHeight="1" x14ac:dyDescent="0.3">
      <c r="A25" s="35"/>
      <c r="B25" s="32"/>
      <c r="C25" s="32"/>
      <c r="D25" s="32"/>
      <c r="E25" s="35"/>
      <c r="F25" s="44"/>
      <c r="G25" s="44"/>
      <c r="H25" s="45"/>
      <c r="I25" s="44"/>
      <c r="J25" s="44"/>
      <c r="K25" s="35"/>
      <c r="L25" s="46"/>
      <c r="M25" s="47"/>
    </row>
    <row r="26" spans="1:13" ht="22.05" customHeight="1" x14ac:dyDescent="0.3">
      <c r="A26" s="30"/>
      <c r="B26" s="29"/>
      <c r="C26" s="29"/>
      <c r="D26" s="29"/>
      <c r="E26" s="30"/>
      <c r="F26" s="36"/>
      <c r="G26" s="36"/>
      <c r="H26" s="39"/>
      <c r="I26" s="36"/>
      <c r="J26" s="36"/>
      <c r="K26" s="30"/>
      <c r="L26" s="41"/>
      <c r="M26" s="43"/>
    </row>
    <row r="27" spans="1:13" ht="22.05" customHeight="1" x14ac:dyDescent="0.3">
      <c r="A27" s="35"/>
      <c r="B27" s="32"/>
      <c r="C27" s="32"/>
      <c r="D27" s="32"/>
      <c r="E27" s="35"/>
      <c r="F27" s="44"/>
      <c r="G27" s="44"/>
      <c r="H27" s="45"/>
      <c r="I27" s="44"/>
      <c r="J27" s="44"/>
      <c r="K27" s="35"/>
      <c r="L27" s="46"/>
      <c r="M27" s="47"/>
    </row>
    <row r="28" spans="1:13" ht="22.05" customHeight="1" x14ac:dyDescent="0.3">
      <c r="A28" s="30"/>
      <c r="B28" s="29"/>
      <c r="C28" s="29"/>
      <c r="D28" s="29"/>
      <c r="E28" s="30"/>
      <c r="F28" s="36"/>
      <c r="G28" s="36"/>
      <c r="H28" s="39"/>
      <c r="I28" s="36"/>
      <c r="J28" s="36"/>
      <c r="K28" s="30"/>
      <c r="L28" s="41"/>
      <c r="M28" s="43"/>
    </row>
    <row r="29" spans="1:13" ht="22.05" customHeight="1" x14ac:dyDescent="0.3">
      <c r="A29" s="35"/>
      <c r="B29" s="32"/>
      <c r="C29" s="32"/>
      <c r="D29" s="32"/>
      <c r="E29" s="35"/>
      <c r="F29" s="44"/>
      <c r="G29" s="44"/>
      <c r="H29" s="45"/>
      <c r="I29" s="44"/>
      <c r="J29" s="44"/>
      <c r="K29" s="35"/>
      <c r="L29" s="46"/>
      <c r="M29" s="47"/>
    </row>
    <row r="30" spans="1:13" ht="22.05" customHeight="1" x14ac:dyDescent="0.3">
      <c r="A30" s="30"/>
      <c r="B30" s="29"/>
      <c r="C30" s="29"/>
      <c r="D30" s="29"/>
      <c r="E30" s="30"/>
      <c r="F30" s="36"/>
      <c r="G30" s="36"/>
      <c r="H30" s="39"/>
      <c r="I30" s="36"/>
      <c r="J30" s="36"/>
      <c r="K30" s="30"/>
      <c r="L30" s="41"/>
      <c r="M30" s="43"/>
    </row>
    <row r="31" spans="1:13" ht="22.05" customHeight="1" x14ac:dyDescent="0.3">
      <c r="A31" s="35"/>
      <c r="B31" s="32"/>
      <c r="C31" s="32"/>
      <c r="D31" s="32"/>
      <c r="E31" s="35"/>
      <c r="F31" s="44"/>
      <c r="G31" s="44"/>
      <c r="H31" s="45"/>
      <c r="I31" s="44"/>
      <c r="J31" s="44"/>
      <c r="K31" s="35"/>
      <c r="L31" s="46"/>
      <c r="M31" s="47"/>
    </row>
    <row r="32" spans="1:13" ht="22.05" customHeight="1" x14ac:dyDescent="0.3">
      <c r="A32" s="30"/>
      <c r="B32" s="29"/>
      <c r="C32" s="29"/>
      <c r="D32" s="29"/>
      <c r="E32" s="30"/>
      <c r="F32" s="36"/>
      <c r="G32" s="36"/>
      <c r="H32" s="39"/>
      <c r="I32" s="36"/>
      <c r="J32" s="36"/>
      <c r="K32" s="30"/>
      <c r="L32" s="41"/>
      <c r="M32" s="43"/>
    </row>
    <row r="33" spans="1:13" ht="22.05" customHeight="1" x14ac:dyDescent="0.3">
      <c r="A33" s="37"/>
      <c r="B33" s="33"/>
      <c r="C33" s="33"/>
      <c r="D33" s="33"/>
      <c r="E33" s="37"/>
      <c r="F33" s="38"/>
      <c r="G33" s="38"/>
      <c r="H33" s="40"/>
      <c r="I33" s="38"/>
      <c r="J33" s="38"/>
      <c r="K33" s="37"/>
      <c r="L33" s="42"/>
      <c r="M33" s="34"/>
    </row>
  </sheetData>
  <mergeCells count="1">
    <mergeCell ref="A1:M1"/>
  </mergeCells>
  <dataValidations count="2">
    <dataValidation type="list" allowBlank="1" showInputMessage="1" sqref="E4:E33" xr:uid="{6AA37426-4896-44E6-8156-CB4C5F0F305C}">
      <formula1>"ארז,הדר,אפרת"</formula1>
    </dataValidation>
    <dataValidation type="list" allowBlank="1" showInputMessage="1" sqref="K4:K33" xr:uid="{52080F97-7D2E-4698-BE48-78C3F049FE44}">
      <formula1>"חדש,בטיפול,בוצע,ממתין לתגובה"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2"/>
  <sheetViews>
    <sheetView rightToLeft="1" workbookViewId="0">
      <pane ySplit="2" topLeftCell="A3" activePane="bottomLeft" state="frozen"/>
      <selection pane="bottomLeft" activeCell="G2" sqref="G2"/>
    </sheetView>
  </sheetViews>
  <sheetFormatPr defaultRowHeight="14.4" x14ac:dyDescent="0.3"/>
  <cols>
    <col min="1" max="2" width="24" customWidth="1"/>
    <col min="3" max="3" width="18" customWidth="1"/>
    <col min="4" max="4" width="30" customWidth="1"/>
    <col min="5" max="7" width="15" customWidth="1"/>
    <col min="8" max="8" width="22" customWidth="1"/>
    <col min="9" max="9" width="16" customWidth="1"/>
  </cols>
  <sheetData>
    <row r="1" spans="1:9" ht="42" customHeight="1" x14ac:dyDescent="0.3">
      <c r="A1" s="64" t="s">
        <v>0</v>
      </c>
      <c r="B1" s="61"/>
      <c r="C1" s="61"/>
      <c r="D1" s="61"/>
      <c r="E1" s="61"/>
      <c r="F1" s="61"/>
      <c r="G1" s="61"/>
      <c r="H1" s="61"/>
      <c r="I1" s="61"/>
    </row>
    <row r="2" spans="1:9" ht="30" customHeight="1" x14ac:dyDescent="0.3">
      <c r="A2" s="1" t="s">
        <v>1</v>
      </c>
      <c r="B2" s="1" t="s">
        <v>2</v>
      </c>
      <c r="C2" s="1" t="s">
        <v>3</v>
      </c>
      <c r="D2" s="1" t="s">
        <v>4</v>
      </c>
      <c r="E2" s="25" t="s">
        <v>5</v>
      </c>
      <c r="F2" s="24" t="s">
        <v>6</v>
      </c>
      <c r="G2" s="26" t="s">
        <v>7</v>
      </c>
      <c r="H2" s="1" t="s">
        <v>8</v>
      </c>
      <c r="I2" s="1" t="s">
        <v>9</v>
      </c>
    </row>
    <row r="3" spans="1:9" ht="22.05" customHeight="1" x14ac:dyDescent="0.3">
      <c r="A3" s="2" t="s">
        <v>22</v>
      </c>
      <c r="B3" s="2"/>
      <c r="C3" s="2" t="s">
        <v>29</v>
      </c>
      <c r="D3" s="2"/>
      <c r="E3" s="3" t="str">
        <f>IF($A3="","—",IFERROR(INDEX(ארז!$G:$G,MATCH($A3,ארז!$A:$A,0)),"—"))</f>
        <v>בטיפול</v>
      </c>
      <c r="F3" s="3" t="str">
        <f>IF($A3="","—",IFERROR(INDEX(הדר!$G:$G,MATCH($A3,הדר!$A:$A,0)),"—"))</f>
        <v>בוצע</v>
      </c>
      <c r="G3" s="3" t="str">
        <f>IF($A3="","—",IFERROR(INDEX(אפרת!$G:$G,MATCH($A3,אפרת!$A:$A,0)),"—"))</f>
        <v>—</v>
      </c>
      <c r="H3" s="4">
        <f>IF($A3="","",IFERROR(IF(MAX(IFERROR(INDEX(ארז!$E:$E,MATCH($A3,ארז!$A:$A,0)),0),IFERROR(INDEX(הדר!$E:$E,MATCH($A3,הדר!$A:$A,0)),0),IFERROR(INDEX(אפרת!$E:$E,MATCH($A3,אפרת!$A:$A,0)),0))=0,"",MAX(IFERROR(INDEX(ארז!$E:$E,MATCH($A3,ארז!$A:$A,0)),0),IFERROR(INDEX(הדר!$E:$E,MATCH($A3,הדר!$A:$A,0)),0),IFERROR(INDEX(אפרת!$E:$E,MATCH($A3,אפרת!$A:$A,0)),0))),""))</f>
        <v>46141.494895833333</v>
      </c>
      <c r="I3" s="3" t="str">
        <f>IF($A3="","",IFERROR(IF(MAX(IFERROR(INDEX(ארז!$E:$E,MATCH($A3,ארז!$A:$A,0)),0),IFERROR(INDEX(הדר!$E:$E,MATCH($A3,הדר!$A:$A,0)),0),IFERROR(INDEX(אפרת!$E:$E,MATCH($A3,אפרת!$A:$A,0)),0))=0,"",IF(IFERROR(INDEX(ארז!$E:$E,MATCH($A3,ארז!$A:$A,0)),0)=MAX(IFERROR(INDEX(ארז!$E:$E,MATCH($A3,ארז!$A:$A,0)),0),IFERROR(INDEX(הדר!$E:$E,MATCH($A3,הדר!$A:$A,0)),0),IFERROR(INDEX(אפרת!$E:$E,MATCH($A3,אפרת!$A:$A,0)),0)),"ארז",IF(IFERROR(INDEX(הדר!$E:$E,MATCH($A3,הדר!$A:$A,0)),0)=MAX(IFERROR(INDEX(ארז!$E:$E,MATCH($A3,ארז!$A:$A,0)),0),IFERROR(INDEX(הדר!$E:$E,MATCH($A3,הדר!$A:$A,0)),0),IFERROR(INDEX(אפרת!$E:$E,MATCH($A3,אפרת!$A:$A,0)),0)),"הדר","אפרת"))),""))</f>
        <v>ארז</v>
      </c>
    </row>
    <row r="4" spans="1:9" ht="22.05" customHeight="1" x14ac:dyDescent="0.3">
      <c r="A4" s="5" t="s">
        <v>23</v>
      </c>
      <c r="B4" s="5"/>
      <c r="C4" s="5" t="s">
        <v>27</v>
      </c>
      <c r="D4" s="5"/>
      <c r="E4" s="6" t="str">
        <f>IF($A4="","—",IFERROR(INDEX(ארז!$G:$G,MATCH($A4,ארז!$A:$A,0)),"—"))</f>
        <v>—</v>
      </c>
      <c r="F4" s="7" t="str">
        <f>IF($A4="","—",IFERROR(INDEX(הדר!$G:$G,MATCH($A4,הדר!$A:$A,0)),"—"))</f>
        <v>בטיפול</v>
      </c>
      <c r="G4" s="8" t="str">
        <f>IF($A4="","—",IFERROR(INDEX(אפרת!$G:$G,MATCH($A4,אפרת!$A:$A,0)),"—"))</f>
        <v>—</v>
      </c>
      <c r="H4" s="9">
        <f>IF($A4="","",IFERROR(IF(MAX(IFERROR(INDEX(ארז!$E:$E,MATCH($A4,ארז!$A:$A,0)),0),IFERROR(INDEX(הדר!$E:$E,MATCH($A4,הדר!$A:$A,0)),0),IFERROR(INDEX(אפרת!$E:$E,MATCH($A4,אפרת!$A:$A,0)),0))=0,"",MAX(IFERROR(INDEX(ארז!$E:$E,MATCH($A4,ארז!$A:$A,0)),0),IFERROR(INDEX(הדר!$E:$E,MATCH($A4,הדר!$A:$A,0)),0),IFERROR(INDEX(אפרת!$E:$E,MATCH($A4,אפרת!$A:$A,0)),0))),""))</f>
        <v>46141.500879629632</v>
      </c>
      <c r="I4" s="10" t="str">
        <f>IF($A4="","",IFERROR(IF(MAX(IFERROR(INDEX(ארז!$E:$E,MATCH($A4,ארז!$A:$A,0)),0),IFERROR(INDEX(הדר!$E:$E,MATCH($A4,הדר!$A:$A,0)),0),IFERROR(INDEX(אפרת!$E:$E,MATCH($A4,אפרת!$A:$A,0)),0))=0,"",IF(IFERROR(INDEX(ארז!$E:$E,MATCH($A4,ארז!$A:$A,0)),0)=MAX(IFERROR(INDEX(ארז!$E:$E,MATCH($A4,ארז!$A:$A,0)),0),IFERROR(INDEX(הדר!$E:$E,MATCH($A4,הדר!$A:$A,0)),0),IFERROR(INDEX(אפרת!$E:$E,MATCH($A4,אפרת!$A:$A,0)),0)),"ארז",IF(IFERROR(INDEX(הדר!$E:$E,MATCH($A4,הדר!$A:$A,0)),0)=MAX(IFERROR(INDEX(ארז!$E:$E,MATCH($A4,ארז!$A:$A,0)),0),IFERROR(INDEX(הדר!$E:$E,MATCH($A4,הדר!$A:$A,0)),0),IFERROR(INDEX(אפרת!$E:$E,MATCH($A4,אפרת!$A:$A,0)),0)),"הדר","אפרת"))),""))</f>
        <v>הדר</v>
      </c>
    </row>
    <row r="5" spans="1:9" ht="22.05" customHeight="1" x14ac:dyDescent="0.3">
      <c r="A5" s="2" t="s">
        <v>24</v>
      </c>
      <c r="B5" s="2"/>
      <c r="C5" s="2" t="s">
        <v>28</v>
      </c>
      <c r="D5" s="2"/>
      <c r="E5" s="3" t="str">
        <f>IF($A5="","—",IFERROR(INDEX(ארז!$G:$G,MATCH($A5,ארז!$A:$A,0)),"—"))</f>
        <v>—</v>
      </c>
      <c r="F5" s="3" t="str">
        <f>IF($A5="","—",IFERROR(INDEX(הדר!$G:$G,MATCH($A5,הדר!$A:$A,0)),"—"))</f>
        <v>—</v>
      </c>
      <c r="G5" s="3" t="str">
        <f>IF($A5="","—",IFERROR(INDEX(אפרת!$G:$G,MATCH($A5,אפרת!$A:$A,0)),"—"))</f>
        <v>—</v>
      </c>
      <c r="H5" s="4" t="str">
        <f>IF($A5="","",IFERROR(IF(MAX(IFERROR(INDEX(ארז!$E:$E,MATCH($A5,ארז!$A:$A,0)),0),IFERROR(INDEX(הדר!$E:$E,MATCH($A5,הדר!$A:$A,0)),0),IFERROR(INDEX(אפרת!$E:$E,MATCH($A5,אפרת!$A:$A,0)),0))=0,"",MAX(IFERROR(INDEX(ארז!$E:$E,MATCH($A5,ארז!$A:$A,0)),0),IFERROR(INDEX(הדר!$E:$E,MATCH($A5,הדר!$A:$A,0)),0),IFERROR(INDEX(אפרת!$E:$E,MATCH($A5,אפרת!$A:$A,0)),0))),""))</f>
        <v/>
      </c>
      <c r="I5" s="3" t="str">
        <f>IF($A5="","",IFERROR(IF(MAX(IFERROR(INDEX(ארז!$E:$E,MATCH($A5,ארז!$A:$A,0)),0),IFERROR(INDEX(הדר!$E:$E,MATCH($A5,הדר!$A:$A,0)),0),IFERROR(INDEX(אפרת!$E:$E,MATCH($A5,אפרת!$A:$A,0)),0))=0,"",IF(IFERROR(INDEX(ארז!$E:$E,MATCH($A5,ארז!$A:$A,0)),0)=MAX(IFERROR(INDEX(ארז!$E:$E,MATCH($A5,ארז!$A:$A,0)),0),IFERROR(INDEX(הדר!$E:$E,MATCH($A5,הדר!$A:$A,0)),0),IFERROR(INDEX(אפרת!$E:$E,MATCH($A5,אפרת!$A:$A,0)),0)),"ארז",IF(IFERROR(INDEX(הדר!$E:$E,MATCH($A5,הדר!$A:$A,0)),0)=MAX(IFERROR(INDEX(ארז!$E:$E,MATCH($A5,ארז!$A:$A,0)),0),IFERROR(INDEX(הדר!$E:$E,MATCH($A5,הדר!$A:$A,0)),0),IFERROR(INDEX(אפרת!$E:$E,MATCH($A5,אפרת!$A:$A,0)),0)),"הדר","אפרת"))),""))</f>
        <v/>
      </c>
    </row>
    <row r="6" spans="1:9" ht="22.05" customHeight="1" x14ac:dyDescent="0.3">
      <c r="A6" s="5" t="s">
        <v>39</v>
      </c>
      <c r="B6" s="5" t="s">
        <v>29</v>
      </c>
      <c r="C6" s="5" t="s">
        <v>27</v>
      </c>
      <c r="D6" s="5"/>
      <c r="E6" s="6" t="str">
        <f>IF($A6="","—",IFERROR(INDEX(ארז!$G:$G,MATCH($A6,ארז!$A:$A,0)),"—"))</f>
        <v>חדש</v>
      </c>
      <c r="F6" s="7" t="str">
        <f>IF($A6="","—",IFERROR(INDEX(הדר!$G:$G,MATCH($A6,הדר!$A:$A,0)),"—"))</f>
        <v>—</v>
      </c>
      <c r="G6" s="8" t="str">
        <f>IF($A6="","—",IFERROR(INDEX(אפרת!$G:$G,MATCH($A6,אפרת!$A:$A,0)),"—"))</f>
        <v>—</v>
      </c>
      <c r="H6" s="9">
        <f>IF($A6="","",IFERROR(IF(MAX(IFERROR(INDEX(ארז!$E:$E,MATCH($A6,ארז!$A:$A,0)),0),IFERROR(INDEX(הדר!$E:$E,MATCH($A6,הדר!$A:$A,0)),0),IFERROR(INDEX(אפרת!$E:$E,MATCH($A6,אפרת!$A:$A,0)),0))=0,"",MAX(IFERROR(INDEX(ארז!$E:$E,MATCH($A6,ארז!$A:$A,0)),0),IFERROR(INDEX(הדר!$E:$E,MATCH($A6,הדר!$A:$A,0)),0),IFERROR(INDEX(אפרת!$E:$E,MATCH($A6,אפרת!$A:$A,0)),0))),""))</f>
        <v>46141.539930555555</v>
      </c>
      <c r="I6" s="10" t="str">
        <f>IF($A6="","",IFERROR(IF(MAX(IFERROR(INDEX(ארז!$E:$E,MATCH($A6,ארז!$A:$A,0)),0),IFERROR(INDEX(הדר!$E:$E,MATCH($A6,הדר!$A:$A,0)),0),IFERROR(INDEX(אפרת!$E:$E,MATCH($A6,אפרת!$A:$A,0)),0))=0,"",IF(IFERROR(INDEX(ארז!$E:$E,MATCH($A6,ארז!$A:$A,0)),0)=MAX(IFERROR(INDEX(ארז!$E:$E,MATCH($A6,ארז!$A:$A,0)),0),IFERROR(INDEX(הדר!$E:$E,MATCH($A6,הדר!$A:$A,0)),0),IFERROR(INDEX(אפרת!$E:$E,MATCH($A6,אפרת!$A:$A,0)),0)),"ארז",IF(IFERROR(INDEX(הדר!$E:$E,MATCH($A6,הדר!$A:$A,0)),0)=MAX(IFERROR(INDEX(ארז!$E:$E,MATCH($A6,ארז!$A:$A,0)),0),IFERROR(INDEX(הדר!$E:$E,MATCH($A6,הדר!$A:$A,0)),0),IFERROR(INDEX(אפרת!$E:$E,MATCH($A6,אפרת!$A:$A,0)),0)),"הדר","אפרת"))),""))</f>
        <v>ארז</v>
      </c>
    </row>
    <row r="7" spans="1:9" ht="22.05" customHeight="1" x14ac:dyDescent="0.3">
      <c r="A7" s="2" t="s">
        <v>44</v>
      </c>
      <c r="B7" s="2" t="s">
        <v>45</v>
      </c>
      <c r="C7" s="2" t="s">
        <v>27</v>
      </c>
      <c r="D7" s="2"/>
      <c r="E7" s="3" t="str">
        <f>IF($A7="","—",IFERROR(INDEX(ארז!$G:$G,MATCH($A7,ארז!$A:$A,0)),"—"))</f>
        <v>—</v>
      </c>
      <c r="F7" s="3" t="str">
        <f>IF($A7="","—",IFERROR(INDEX(הדר!$G:$G,MATCH($A7,הדר!$A:$A,0)),"—"))</f>
        <v>—</v>
      </c>
      <c r="G7" s="3" t="str">
        <f>IF($A7="","—",IFERROR(INDEX(אפרת!$G:$G,MATCH($A7,אפרת!$A:$A,0)),"—"))</f>
        <v>בטיפול</v>
      </c>
      <c r="H7" s="4">
        <f>IF($A7="","",IFERROR(IF(MAX(IFERROR(INDEX(ארז!$E:$E,MATCH($A7,ארז!$A:$A,0)),0),IFERROR(INDEX(הדר!$E:$E,MATCH($A7,הדר!$A:$A,0)),0),IFERROR(INDEX(אפרת!$E:$E,MATCH($A7,אפרת!$A:$A,0)),0))=0,"",MAX(IFERROR(INDEX(ארז!$E:$E,MATCH($A7,ארז!$A:$A,0)),0),IFERROR(INDEX(הדר!$E:$E,MATCH($A7,הדר!$A:$A,0)),0),IFERROR(INDEX(אפרת!$E:$E,MATCH($A7,אפרת!$A:$A,0)),0))),""))</f>
        <v>46141.577881944446</v>
      </c>
      <c r="I7" s="3" t="str">
        <f>IF($A7="","",IFERROR(IF(MAX(IFERROR(INDEX(ארז!$E:$E,MATCH($A7,ארז!$A:$A,0)),0),IFERROR(INDEX(הדר!$E:$E,MATCH($A7,הדר!$A:$A,0)),0),IFERROR(INDEX(אפרת!$E:$E,MATCH($A7,אפרת!$A:$A,0)),0))=0,"",IF(IFERROR(INDEX(ארז!$E:$E,MATCH($A7,ארז!$A:$A,0)),0)=MAX(IFERROR(INDEX(ארז!$E:$E,MATCH($A7,ארז!$A:$A,0)),0),IFERROR(INDEX(הדר!$E:$E,MATCH($A7,הדר!$A:$A,0)),0),IFERROR(INDEX(אפרת!$E:$E,MATCH($A7,אפרת!$A:$A,0)),0)),"ארז",IF(IFERROR(INDEX(הדר!$E:$E,MATCH($A7,הדר!$A:$A,0)),0)=MAX(IFERROR(INDEX(ארז!$E:$E,MATCH($A7,ארז!$A:$A,0)),0),IFERROR(INDEX(הדר!$E:$E,MATCH($A7,הדר!$A:$A,0)),0),IFERROR(INDEX(אפרת!$E:$E,MATCH($A7,אפרת!$A:$A,0)),0)),"הדר","אפרת"))),""))</f>
        <v>אפרת</v>
      </c>
    </row>
    <row r="8" spans="1:9" ht="22.05" customHeight="1" x14ac:dyDescent="0.3">
      <c r="A8" s="5">
        <v>4</v>
      </c>
      <c r="B8" s="5" t="s">
        <v>47</v>
      </c>
      <c r="C8" s="5"/>
      <c r="D8" s="5"/>
      <c r="E8" s="6" t="str">
        <f>IF($A8="","—",IFERROR(INDEX(ארז!$G:$G,MATCH($A8,ארז!$A:$A,0)),"—"))</f>
        <v>—</v>
      </c>
      <c r="F8" s="7" t="str">
        <f>IF($A8="","—",IFERROR(INDEX(הדר!$G:$G,MATCH($A8,הדר!$A:$A,0)),"—"))</f>
        <v>—</v>
      </c>
      <c r="G8" s="8" t="str">
        <f>IF($A8="","—",IFERROR(INDEX(אפרת!$G:$G,MATCH($A8,אפרת!$A:$A,0)),"—"))</f>
        <v>חדש</v>
      </c>
      <c r="H8" s="9">
        <f>IF($A8="","",IFERROR(IF(MAX(IFERROR(INDEX(ארז!$E:$E,MATCH($A8,ארז!$A:$A,0)),0),IFERROR(INDEX(הדר!$E:$E,MATCH($A8,הדר!$A:$A,0)),0),IFERROR(INDEX(אפרת!$E:$E,MATCH($A8,אפרת!$A:$A,0)),0))=0,"",MAX(IFERROR(INDEX(ארז!$E:$E,MATCH($A8,ארז!$A:$A,0)),0),IFERROR(INDEX(הדר!$E:$E,MATCH($A8,הדר!$A:$A,0)),0),IFERROR(INDEX(אפרת!$E:$E,MATCH($A8,אפרת!$A:$A,0)),0))),""))</f>
        <v>46141.577708333331</v>
      </c>
      <c r="I8" s="10" t="str">
        <f>IF($A8="","",IFERROR(IF(MAX(IFERROR(INDEX(ארז!$E:$E,MATCH($A8,ארז!$A:$A,0)),0),IFERROR(INDEX(הדר!$E:$E,MATCH($A8,הדר!$A:$A,0)),0),IFERROR(INDEX(אפרת!$E:$E,MATCH($A8,אפרת!$A:$A,0)),0))=0,"",IF(IFERROR(INDEX(ארז!$E:$E,MATCH($A8,ארז!$A:$A,0)),0)=MAX(IFERROR(INDEX(ארז!$E:$E,MATCH($A8,ארז!$A:$A,0)),0),IFERROR(INDEX(הדר!$E:$E,MATCH($A8,הדר!$A:$A,0)),0),IFERROR(INDEX(אפרת!$E:$E,MATCH($A8,אפרת!$A:$A,0)),0)),"ארז",IF(IFERROR(INDEX(הדר!$E:$E,MATCH($A8,הדר!$A:$A,0)),0)=MAX(IFERROR(INDEX(ארז!$E:$E,MATCH($A8,ארז!$A:$A,0)),0),IFERROR(INDEX(הדר!$E:$E,MATCH($A8,הדר!$A:$A,0)),0),IFERROR(INDEX(אפרת!$E:$E,MATCH($A8,אפרת!$A:$A,0)),0)),"הדר","אפרת"))),""))</f>
        <v>אפרת</v>
      </c>
    </row>
    <row r="9" spans="1:9" ht="22.05" customHeight="1" x14ac:dyDescent="0.3">
      <c r="A9" s="2" t="s">
        <v>48</v>
      </c>
      <c r="B9" s="2" t="s">
        <v>29</v>
      </c>
      <c r="C9" s="2"/>
      <c r="D9" s="2"/>
      <c r="E9" s="3" t="str">
        <f>IF($A9="","—",IFERROR(INDEX(ארז!$G:$G,MATCH($A9,ארז!$A:$A,0)),"—"))</f>
        <v>—</v>
      </c>
      <c r="F9" s="3" t="str">
        <f>IF($A9="","—",IFERROR(INDEX(הדר!$G:$G,MATCH($A9,הדר!$A:$A,0)),"—"))</f>
        <v>—</v>
      </c>
      <c r="G9" s="3" t="str">
        <f>IF($A9="","—",IFERROR(INDEX(אפרת!$G:$G,MATCH($A9,אפרת!$A:$A,0)),"—"))</f>
        <v>בוצע</v>
      </c>
      <c r="H9" s="4">
        <f>IF($A9="","",IFERROR(IF(MAX(IFERROR(INDEX(ארז!$E:$E,MATCH($A9,ארז!$A:$A,0)),0),IFERROR(INDEX(הדר!$E:$E,MATCH($A9,הדר!$A:$A,0)),0),IFERROR(INDEX(אפרת!$E:$E,MATCH($A9,אפרת!$A:$A,0)),0))=0,"",MAX(IFERROR(INDEX(ארז!$E:$E,MATCH($A9,ארז!$A:$A,0)),0),IFERROR(INDEX(הדר!$E:$E,MATCH($A9,הדר!$A:$A,0)),0),IFERROR(INDEX(אפרת!$E:$E,MATCH($A9,אפרת!$A:$A,0)),0))),""))</f>
        <v>46141.579108796293</v>
      </c>
      <c r="I9" s="3" t="str">
        <f>IF($A9="","",IFERROR(IF(MAX(IFERROR(INDEX(ארז!$E:$E,MATCH($A9,ארז!$A:$A,0)),0),IFERROR(INDEX(הדר!$E:$E,MATCH($A9,הדר!$A:$A,0)),0),IFERROR(INDEX(אפרת!$E:$E,MATCH($A9,אפרת!$A:$A,0)),0))=0,"",IF(IFERROR(INDEX(ארז!$E:$E,MATCH($A9,ארז!$A:$A,0)),0)=MAX(IFERROR(INDEX(ארז!$E:$E,MATCH($A9,ארז!$A:$A,0)),0),IFERROR(INDEX(הדר!$E:$E,MATCH($A9,הדר!$A:$A,0)),0),IFERROR(INDEX(אפרת!$E:$E,MATCH($A9,אפרת!$A:$A,0)),0)),"ארז",IF(IFERROR(INDEX(הדר!$E:$E,MATCH($A9,הדר!$A:$A,0)),0)=MAX(IFERROR(INDEX(ארז!$E:$E,MATCH($A9,ארז!$A:$A,0)),0),IFERROR(INDEX(הדר!$E:$E,MATCH($A9,הדר!$A:$A,0)),0),IFERROR(INDEX(אפרת!$E:$E,MATCH($A9,אפרת!$A:$A,0)),0)),"הדר","אפרת"))),""))</f>
        <v>אפרת</v>
      </c>
    </row>
    <row r="10" spans="1:9" ht="22.05" customHeight="1" x14ac:dyDescent="0.3">
      <c r="A10" s="5"/>
      <c r="B10" s="5"/>
      <c r="C10" s="5"/>
      <c r="D10" s="5"/>
      <c r="E10" s="6" t="str">
        <f>IF($A10="","—",IFERROR(INDEX(ארז!$G:$G,MATCH($A10,ארז!$A:$A,0)),"—"))</f>
        <v>—</v>
      </c>
      <c r="F10" s="7" t="str">
        <f>IF($A10="","—",IFERROR(INDEX(הדר!$G:$G,MATCH($A10,הדר!$A:$A,0)),"—"))</f>
        <v>—</v>
      </c>
      <c r="G10" s="8" t="str">
        <f>IF($A10="","—",IFERROR(INDEX(אפרת!$G:$G,MATCH($A10,אפרת!$A:$A,0)),"—"))</f>
        <v>—</v>
      </c>
      <c r="H10" s="9" t="str">
        <f>IF($A10="","",IFERROR(IF(MAX(IFERROR(INDEX(ארז!$E:$E,MATCH($A10,ארז!$A:$A,0)),0),IFERROR(INDEX(הדר!$E:$E,MATCH($A10,הדר!$A:$A,0)),0),IFERROR(INDEX(אפרת!$E:$E,MATCH($A10,אפרת!$A:$A,0)),0))=0,"",MAX(IFERROR(INDEX(ארז!$E:$E,MATCH($A10,ארז!$A:$A,0)),0),IFERROR(INDEX(הדר!$E:$E,MATCH($A10,הדר!$A:$A,0)),0),IFERROR(INDEX(אפרת!$E:$E,MATCH($A10,אפרת!$A:$A,0)),0))),""))</f>
        <v/>
      </c>
      <c r="I10" s="10" t="str">
        <f>IF($A10="","",IFERROR(IF(MAX(IFERROR(INDEX(ארז!$E:$E,MATCH($A10,ארז!$A:$A,0)),0),IFERROR(INDEX(הדר!$E:$E,MATCH($A10,הדר!$A:$A,0)),0),IFERROR(INDEX(אפרת!$E:$E,MATCH($A10,אפרת!$A:$A,0)),0))=0,"",IF(IFERROR(INDEX(ארז!$E:$E,MATCH($A10,ארז!$A:$A,0)),0)=MAX(IFERROR(INDEX(ארז!$E:$E,MATCH($A10,ארז!$A:$A,0)),0),IFERROR(INDEX(הדר!$E:$E,MATCH($A10,הדר!$A:$A,0)),0),IFERROR(INDEX(אפרת!$E:$E,MATCH($A10,אפרת!$A:$A,0)),0)),"ארז",IF(IFERROR(INDEX(הדר!$E:$E,MATCH($A10,הדר!$A:$A,0)),0)=MAX(IFERROR(INDEX(ארז!$E:$E,MATCH($A10,ארז!$A:$A,0)),0),IFERROR(INDEX(הדר!$E:$E,MATCH($A10,הדר!$A:$A,0)),0),IFERROR(INDEX(אפרת!$E:$E,MATCH($A10,אפרת!$A:$A,0)),0)),"הדר","אפרת"))),""))</f>
        <v/>
      </c>
    </row>
    <row r="11" spans="1:9" ht="22.05" customHeight="1" x14ac:dyDescent="0.3">
      <c r="A11" s="2"/>
      <c r="B11" s="2"/>
      <c r="C11" s="2"/>
      <c r="D11" s="2"/>
      <c r="E11" s="3" t="str">
        <f>IF($A11="","—",IFERROR(INDEX(ארז!$G:$G,MATCH($A11,ארז!$A:$A,0)),"—"))</f>
        <v>—</v>
      </c>
      <c r="F11" s="3" t="str">
        <f>IF($A11="","—",IFERROR(INDEX(הדר!$G:$G,MATCH($A11,הדר!$A:$A,0)),"—"))</f>
        <v>—</v>
      </c>
      <c r="G11" s="3" t="str">
        <f>IF($A11="","—",IFERROR(INDEX(אפרת!$G:$G,MATCH($A11,אפרת!$A:$A,0)),"—"))</f>
        <v>—</v>
      </c>
      <c r="H11" s="4" t="str">
        <f>IF($A11="","",IFERROR(IF(MAX(IFERROR(INDEX(ארז!$E:$E,MATCH($A11,ארז!$A:$A,0)),0),IFERROR(INDEX(הדר!$E:$E,MATCH($A11,הדר!$A:$A,0)),0),IFERROR(INDEX(אפרת!$E:$E,MATCH($A11,אפרת!$A:$A,0)),0))=0,"",MAX(IFERROR(INDEX(ארז!$E:$E,MATCH($A11,ארז!$A:$A,0)),0),IFERROR(INDEX(הדר!$E:$E,MATCH($A11,הדר!$A:$A,0)),0),IFERROR(INDEX(אפרת!$E:$E,MATCH($A11,אפרת!$A:$A,0)),0))),""))</f>
        <v/>
      </c>
      <c r="I11" s="3" t="str">
        <f>IF($A11="","",IFERROR(IF(MAX(IFERROR(INDEX(ארז!$E:$E,MATCH($A11,ארז!$A:$A,0)),0),IFERROR(INDEX(הדר!$E:$E,MATCH($A11,הדר!$A:$A,0)),0),IFERROR(INDEX(אפרת!$E:$E,MATCH($A11,אפרת!$A:$A,0)),0))=0,"",IF(IFERROR(INDEX(ארז!$E:$E,MATCH($A11,ארז!$A:$A,0)),0)=MAX(IFERROR(INDEX(ארז!$E:$E,MATCH($A11,ארז!$A:$A,0)),0),IFERROR(INDEX(הדר!$E:$E,MATCH($A11,הדר!$A:$A,0)),0),IFERROR(INDEX(אפרת!$E:$E,MATCH($A11,אפרת!$A:$A,0)),0)),"ארז",IF(IFERROR(INDEX(הדר!$E:$E,MATCH($A11,הדר!$A:$A,0)),0)=MAX(IFERROR(INDEX(ארז!$E:$E,MATCH($A11,ארז!$A:$A,0)),0),IFERROR(INDEX(הדר!$E:$E,MATCH($A11,הדר!$A:$A,0)),0),IFERROR(INDEX(אפרת!$E:$E,MATCH($A11,אפרת!$A:$A,0)),0)),"הדר","אפרת"))),""))</f>
        <v/>
      </c>
    </row>
    <row r="12" spans="1:9" ht="22.05" customHeight="1" x14ac:dyDescent="0.3">
      <c r="A12" s="5"/>
      <c r="B12" s="5"/>
      <c r="C12" s="5"/>
      <c r="D12" s="5"/>
      <c r="E12" s="6" t="str">
        <f>IF($A12="","—",IFERROR(INDEX(ארז!$G:$G,MATCH($A12,ארז!$A:$A,0)),"—"))</f>
        <v>—</v>
      </c>
      <c r="F12" s="7" t="str">
        <f>IF($A12="","—",IFERROR(INDEX(הדר!$G:$G,MATCH($A12,הדר!$A:$A,0)),"—"))</f>
        <v>—</v>
      </c>
      <c r="G12" s="8" t="str">
        <f>IF($A12="","—",IFERROR(INDEX(אפרת!$G:$G,MATCH($A12,אפרת!$A:$A,0)),"—"))</f>
        <v>—</v>
      </c>
      <c r="H12" s="9" t="str">
        <f>IF($A12="","",IFERROR(IF(MAX(IFERROR(INDEX(ארז!$E:$E,MATCH($A12,ארז!$A:$A,0)),0),IFERROR(INDEX(הדר!$E:$E,MATCH($A12,הדר!$A:$A,0)),0),IFERROR(INDEX(אפרת!$E:$E,MATCH($A12,אפרת!$A:$A,0)),0))=0,"",MAX(IFERROR(INDEX(ארז!$E:$E,MATCH($A12,ארז!$A:$A,0)),0),IFERROR(INDEX(הדר!$E:$E,MATCH($A12,הדר!$A:$A,0)),0),IFERROR(INDEX(אפרת!$E:$E,MATCH($A12,אפרת!$A:$A,0)),0))),""))</f>
        <v/>
      </c>
      <c r="I12" s="10" t="str">
        <f>IF($A12="","",IFERROR(IF(MAX(IFERROR(INDEX(ארז!$E:$E,MATCH($A12,ארז!$A:$A,0)),0),IFERROR(INDEX(הדר!$E:$E,MATCH($A12,הדר!$A:$A,0)),0),IFERROR(INDEX(אפרת!$E:$E,MATCH($A12,אפרת!$A:$A,0)),0))=0,"",IF(IFERROR(INDEX(ארז!$E:$E,MATCH($A12,ארז!$A:$A,0)),0)=MAX(IFERROR(INDEX(ארז!$E:$E,MATCH($A12,ארז!$A:$A,0)),0),IFERROR(INDEX(הדר!$E:$E,MATCH($A12,הדר!$A:$A,0)),0),IFERROR(INDEX(אפרת!$E:$E,MATCH($A12,אפרת!$A:$A,0)),0)),"ארז",IF(IFERROR(INDEX(הדר!$E:$E,MATCH($A12,הדר!$A:$A,0)),0)=MAX(IFERROR(INDEX(ארז!$E:$E,MATCH($A12,ארז!$A:$A,0)),0),IFERROR(INDEX(הדר!$E:$E,MATCH($A12,הדר!$A:$A,0)),0),IFERROR(INDEX(אפרת!$E:$E,MATCH($A12,אפרת!$A:$A,0)),0)),"הדר","אפרת"))),""))</f>
        <v/>
      </c>
    </row>
    <row r="13" spans="1:9" ht="22.05" customHeight="1" x14ac:dyDescent="0.3">
      <c r="A13" s="2"/>
      <c r="B13" s="2"/>
      <c r="C13" s="2"/>
      <c r="D13" s="2"/>
      <c r="E13" s="3" t="str">
        <f>IF($A13="","—",IFERROR(INDEX(ארז!$G:$G,MATCH($A13,ארז!$A:$A,0)),"—"))</f>
        <v>—</v>
      </c>
      <c r="F13" s="3" t="str">
        <f>IF($A13="","—",IFERROR(INDEX(הדר!$G:$G,MATCH($A13,הדר!$A:$A,0)),"—"))</f>
        <v>—</v>
      </c>
      <c r="G13" s="3" t="str">
        <f>IF($A13="","—",IFERROR(INDEX(אפרת!$G:$G,MATCH($A13,אפרת!$A:$A,0)),"—"))</f>
        <v>—</v>
      </c>
      <c r="H13" s="4" t="str">
        <f>IF($A13="","",IFERROR(IF(MAX(IFERROR(INDEX(ארז!$E:$E,MATCH($A13,ארז!$A:$A,0)),0),IFERROR(INDEX(הדר!$E:$E,MATCH($A13,הדר!$A:$A,0)),0),IFERROR(INDEX(אפרת!$E:$E,MATCH($A13,אפרת!$A:$A,0)),0))=0,"",MAX(IFERROR(INDEX(ארז!$E:$E,MATCH($A13,ארז!$A:$A,0)),0),IFERROR(INDEX(הדר!$E:$E,MATCH($A13,הדר!$A:$A,0)),0),IFERROR(INDEX(אפרת!$E:$E,MATCH($A13,אפרת!$A:$A,0)),0))),""))</f>
        <v/>
      </c>
      <c r="I13" s="3" t="str">
        <f>IF($A13="","",IFERROR(IF(MAX(IFERROR(INDEX(ארז!$E:$E,MATCH($A13,ארז!$A:$A,0)),0),IFERROR(INDEX(הדר!$E:$E,MATCH($A13,הדר!$A:$A,0)),0),IFERROR(INDEX(אפרת!$E:$E,MATCH($A13,אפרת!$A:$A,0)),0))=0,"",IF(IFERROR(INDEX(ארז!$E:$E,MATCH($A13,ארז!$A:$A,0)),0)=MAX(IFERROR(INDEX(ארז!$E:$E,MATCH($A13,ארז!$A:$A,0)),0),IFERROR(INDEX(הדר!$E:$E,MATCH($A13,הדר!$A:$A,0)),0),IFERROR(INDEX(אפרת!$E:$E,MATCH($A13,אפרת!$A:$A,0)),0)),"ארז",IF(IFERROR(INDEX(הדר!$E:$E,MATCH($A13,הדר!$A:$A,0)),0)=MAX(IFERROR(INDEX(ארז!$E:$E,MATCH($A13,ארז!$A:$A,0)),0),IFERROR(INDEX(הדר!$E:$E,MATCH($A13,הדר!$A:$A,0)),0),IFERROR(INDEX(אפרת!$E:$E,MATCH($A13,אפרת!$A:$A,0)),0)),"הדר","אפרת"))),""))</f>
        <v/>
      </c>
    </row>
    <row r="14" spans="1:9" ht="22.05" customHeight="1" x14ac:dyDescent="0.3">
      <c r="A14" s="5"/>
      <c r="B14" s="5"/>
      <c r="C14" s="5"/>
      <c r="D14" s="5"/>
      <c r="E14" s="6" t="str">
        <f>IF($A14="","—",IFERROR(INDEX(ארז!$G:$G,MATCH($A14,ארז!$A:$A,0)),"—"))</f>
        <v>—</v>
      </c>
      <c r="F14" s="7" t="str">
        <f>IF($A14="","—",IFERROR(INDEX(הדר!$G:$G,MATCH($A14,הדר!$A:$A,0)),"—"))</f>
        <v>—</v>
      </c>
      <c r="G14" s="8" t="str">
        <f>IF($A14="","—",IFERROR(INDEX(אפרת!$G:$G,MATCH($A14,אפרת!$A:$A,0)),"—"))</f>
        <v>—</v>
      </c>
      <c r="H14" s="9" t="str">
        <f>IF($A14="","",IFERROR(IF(MAX(IFERROR(INDEX(ארז!$E:$E,MATCH($A14,ארז!$A:$A,0)),0),IFERROR(INDEX(הדר!$E:$E,MATCH($A14,הדר!$A:$A,0)),0),IFERROR(INDEX(אפרת!$E:$E,MATCH($A14,אפרת!$A:$A,0)),0))=0,"",MAX(IFERROR(INDEX(ארז!$E:$E,MATCH($A14,ארז!$A:$A,0)),0),IFERROR(INDEX(הדר!$E:$E,MATCH($A14,הדר!$A:$A,0)),0),IFERROR(INDEX(אפרת!$E:$E,MATCH($A14,אפרת!$A:$A,0)),0))),""))</f>
        <v/>
      </c>
      <c r="I14" s="10" t="str">
        <f>IF($A14="","",IFERROR(IF(MAX(IFERROR(INDEX(ארז!$E:$E,MATCH($A14,ארז!$A:$A,0)),0),IFERROR(INDEX(הדר!$E:$E,MATCH($A14,הדר!$A:$A,0)),0),IFERROR(INDEX(אפרת!$E:$E,MATCH($A14,אפרת!$A:$A,0)),0))=0,"",IF(IFERROR(INDEX(ארז!$E:$E,MATCH($A14,ארז!$A:$A,0)),0)=MAX(IFERROR(INDEX(ארז!$E:$E,MATCH($A14,ארז!$A:$A,0)),0),IFERROR(INDEX(הדר!$E:$E,MATCH($A14,הדר!$A:$A,0)),0),IFERROR(INDEX(אפרת!$E:$E,MATCH($A14,אפרת!$A:$A,0)),0)),"ארז",IF(IFERROR(INDEX(הדר!$E:$E,MATCH($A14,הדר!$A:$A,0)),0)=MAX(IFERROR(INDEX(ארז!$E:$E,MATCH($A14,ארז!$A:$A,0)),0),IFERROR(INDEX(הדר!$E:$E,MATCH($A14,הדר!$A:$A,0)),0),IFERROR(INDEX(אפרת!$E:$E,MATCH($A14,אפרת!$A:$A,0)),0)),"הדר","אפרת"))),""))</f>
        <v/>
      </c>
    </row>
    <row r="15" spans="1:9" ht="22.05" customHeight="1" x14ac:dyDescent="0.3">
      <c r="A15" s="2"/>
      <c r="B15" s="2"/>
      <c r="C15" s="2"/>
      <c r="D15" s="2"/>
      <c r="E15" s="3" t="str">
        <f>IF($A15="","—",IFERROR(INDEX(ארז!$G:$G,MATCH($A15,ארז!$A:$A,0)),"—"))</f>
        <v>—</v>
      </c>
      <c r="F15" s="3" t="str">
        <f>IF($A15="","—",IFERROR(INDEX(הדר!$G:$G,MATCH($A15,הדר!$A:$A,0)),"—"))</f>
        <v>—</v>
      </c>
      <c r="G15" s="3" t="str">
        <f>IF($A15="","—",IFERROR(INDEX(אפרת!$G:$G,MATCH($A15,אפרת!$A:$A,0)),"—"))</f>
        <v>—</v>
      </c>
      <c r="H15" s="4" t="str">
        <f>IF($A15="","",IFERROR(IF(MAX(IFERROR(INDEX(ארז!$E:$E,MATCH($A15,ארז!$A:$A,0)),0),IFERROR(INDEX(הדר!$E:$E,MATCH($A15,הדר!$A:$A,0)),0),IFERROR(INDEX(אפרת!$E:$E,MATCH($A15,אפרת!$A:$A,0)),0))=0,"",MAX(IFERROR(INDEX(ארז!$E:$E,MATCH($A15,ארז!$A:$A,0)),0),IFERROR(INDEX(הדר!$E:$E,MATCH($A15,הדר!$A:$A,0)),0),IFERROR(INDEX(אפרת!$E:$E,MATCH($A15,אפרת!$A:$A,0)),0))),""))</f>
        <v/>
      </c>
      <c r="I15" s="3" t="str">
        <f>IF($A15="","",IFERROR(IF(MAX(IFERROR(INDEX(ארז!$E:$E,MATCH($A15,ארז!$A:$A,0)),0),IFERROR(INDEX(הדר!$E:$E,MATCH($A15,הדר!$A:$A,0)),0),IFERROR(INDEX(אפרת!$E:$E,MATCH($A15,אפרת!$A:$A,0)),0))=0,"",IF(IFERROR(INDEX(ארז!$E:$E,MATCH($A15,ארז!$A:$A,0)),0)=MAX(IFERROR(INDEX(ארז!$E:$E,MATCH($A15,ארז!$A:$A,0)),0),IFERROR(INDEX(הדר!$E:$E,MATCH($A15,הדר!$A:$A,0)),0),IFERROR(INDEX(אפרת!$E:$E,MATCH($A15,אפרת!$A:$A,0)),0)),"ארז",IF(IFERROR(INDEX(הדר!$E:$E,MATCH($A15,הדר!$A:$A,0)),0)=MAX(IFERROR(INDEX(ארז!$E:$E,MATCH($A15,ארז!$A:$A,0)),0),IFERROR(INDEX(הדר!$E:$E,MATCH($A15,הדר!$A:$A,0)),0),IFERROR(INDEX(אפרת!$E:$E,MATCH($A15,אפרת!$A:$A,0)),0)),"הדר","אפרת"))),""))</f>
        <v/>
      </c>
    </row>
    <row r="16" spans="1:9" ht="22.05" customHeight="1" x14ac:dyDescent="0.3">
      <c r="A16" s="5"/>
      <c r="B16" s="5"/>
      <c r="C16" s="5"/>
      <c r="D16" s="5"/>
      <c r="E16" s="6" t="str">
        <f>IF($A16="","—",IFERROR(INDEX(ארז!$G:$G,MATCH($A16,ארז!$A:$A,0)),"—"))</f>
        <v>—</v>
      </c>
      <c r="F16" s="7" t="str">
        <f>IF($A16="","—",IFERROR(INDEX(הדר!$G:$G,MATCH($A16,הדר!$A:$A,0)),"—"))</f>
        <v>—</v>
      </c>
      <c r="G16" s="8" t="str">
        <f>IF($A16="","—",IFERROR(INDEX(אפרת!$G:$G,MATCH($A16,אפרת!$A:$A,0)),"—"))</f>
        <v>—</v>
      </c>
      <c r="H16" s="9" t="str">
        <f>IF($A16="","",IFERROR(IF(MAX(IFERROR(INDEX(ארז!$E:$E,MATCH($A16,ארז!$A:$A,0)),0),IFERROR(INDEX(הדר!$E:$E,MATCH($A16,הדר!$A:$A,0)),0),IFERROR(INDEX(אפרת!$E:$E,MATCH($A16,אפרת!$A:$A,0)),0))=0,"",MAX(IFERROR(INDEX(ארז!$E:$E,MATCH($A16,ארז!$A:$A,0)),0),IFERROR(INDEX(הדר!$E:$E,MATCH($A16,הדר!$A:$A,0)),0),IFERROR(INDEX(אפרת!$E:$E,MATCH($A16,אפרת!$A:$A,0)),0))),""))</f>
        <v/>
      </c>
      <c r="I16" s="10" t="str">
        <f>IF($A16="","",IFERROR(IF(MAX(IFERROR(INDEX(ארז!$E:$E,MATCH($A16,ארז!$A:$A,0)),0),IFERROR(INDEX(הדר!$E:$E,MATCH($A16,הדר!$A:$A,0)),0),IFERROR(INDEX(אפרת!$E:$E,MATCH($A16,אפרת!$A:$A,0)),0))=0,"",IF(IFERROR(INDEX(ארז!$E:$E,MATCH($A16,ארז!$A:$A,0)),0)=MAX(IFERROR(INDEX(ארז!$E:$E,MATCH($A16,ארז!$A:$A,0)),0),IFERROR(INDEX(הדר!$E:$E,MATCH($A16,הדר!$A:$A,0)),0),IFERROR(INDEX(אפרת!$E:$E,MATCH($A16,אפרת!$A:$A,0)),0)),"ארז",IF(IFERROR(INDEX(הדר!$E:$E,MATCH($A16,הדר!$A:$A,0)),0)=MAX(IFERROR(INDEX(ארז!$E:$E,MATCH($A16,ארז!$A:$A,0)),0),IFERROR(INDEX(הדר!$E:$E,MATCH($A16,הדר!$A:$A,0)),0),IFERROR(INDEX(אפרת!$E:$E,MATCH($A16,אפרת!$A:$A,0)),0)),"הדר","אפרת"))),""))</f>
        <v/>
      </c>
    </row>
    <row r="17" spans="1:9" ht="22.05" customHeight="1" x14ac:dyDescent="0.3">
      <c r="A17" s="2"/>
      <c r="B17" s="2"/>
      <c r="C17" s="2"/>
      <c r="D17" s="2"/>
      <c r="E17" s="3" t="str">
        <f>IF($A17="","—",IFERROR(INDEX(ארז!$G:$G,MATCH($A17,ארז!$A:$A,0)),"—"))</f>
        <v>—</v>
      </c>
      <c r="F17" s="3" t="str">
        <f>IF($A17="","—",IFERROR(INDEX(הדר!$G:$G,MATCH($A17,הדר!$A:$A,0)),"—"))</f>
        <v>—</v>
      </c>
      <c r="G17" s="3" t="str">
        <f>IF($A17="","—",IFERROR(INDEX(אפרת!$G:$G,MATCH($A17,אפרת!$A:$A,0)),"—"))</f>
        <v>—</v>
      </c>
      <c r="H17" s="4" t="str">
        <f>IF($A17="","",IFERROR(IF(MAX(IFERROR(INDEX(ארז!$E:$E,MATCH($A17,ארז!$A:$A,0)),0),IFERROR(INDEX(הדר!$E:$E,MATCH($A17,הדר!$A:$A,0)),0),IFERROR(INDEX(אפרת!$E:$E,MATCH($A17,אפרת!$A:$A,0)),0))=0,"",MAX(IFERROR(INDEX(ארז!$E:$E,MATCH($A17,ארז!$A:$A,0)),0),IFERROR(INDEX(הדר!$E:$E,MATCH($A17,הדר!$A:$A,0)),0),IFERROR(INDEX(אפרת!$E:$E,MATCH($A17,אפרת!$A:$A,0)),0))),""))</f>
        <v/>
      </c>
      <c r="I17" s="3" t="str">
        <f>IF($A17="","",IFERROR(IF(MAX(IFERROR(INDEX(ארז!$E:$E,MATCH($A17,ארז!$A:$A,0)),0),IFERROR(INDEX(הדר!$E:$E,MATCH($A17,הדר!$A:$A,0)),0),IFERROR(INDEX(אפרת!$E:$E,MATCH($A17,אפרת!$A:$A,0)),0))=0,"",IF(IFERROR(INDEX(ארז!$E:$E,MATCH($A17,ארז!$A:$A,0)),0)=MAX(IFERROR(INDEX(ארז!$E:$E,MATCH($A17,ארז!$A:$A,0)),0),IFERROR(INDEX(הדר!$E:$E,MATCH($A17,הדר!$A:$A,0)),0),IFERROR(INDEX(אפרת!$E:$E,MATCH($A17,אפרת!$A:$A,0)),0)),"ארז",IF(IFERROR(INDEX(הדר!$E:$E,MATCH($A17,הדר!$A:$A,0)),0)=MAX(IFERROR(INDEX(ארז!$E:$E,MATCH($A17,ארז!$A:$A,0)),0),IFERROR(INDEX(הדר!$E:$E,MATCH($A17,הדר!$A:$A,0)),0),IFERROR(INDEX(אפרת!$E:$E,MATCH($A17,אפרת!$A:$A,0)),0)),"הדר","אפרת"))),""))</f>
        <v/>
      </c>
    </row>
    <row r="18" spans="1:9" ht="22.05" customHeight="1" x14ac:dyDescent="0.3">
      <c r="A18" s="5"/>
      <c r="B18" s="5"/>
      <c r="C18" s="5"/>
      <c r="D18" s="5"/>
      <c r="E18" s="6" t="str">
        <f>IF($A18="","—",IFERROR(INDEX(ארז!$G:$G,MATCH($A18,ארז!$A:$A,0)),"—"))</f>
        <v>—</v>
      </c>
      <c r="F18" s="7" t="str">
        <f>IF($A18="","—",IFERROR(INDEX(הדר!$G:$G,MATCH($A18,הדר!$A:$A,0)),"—"))</f>
        <v>—</v>
      </c>
      <c r="G18" s="8" t="str">
        <f>IF($A18="","—",IFERROR(INDEX(אפרת!$G:$G,MATCH($A18,אפרת!$A:$A,0)),"—"))</f>
        <v>—</v>
      </c>
      <c r="H18" s="9" t="str">
        <f>IF($A18="","",IFERROR(IF(MAX(IFERROR(INDEX(ארז!$E:$E,MATCH($A18,ארז!$A:$A,0)),0),IFERROR(INDEX(הדר!$E:$E,MATCH($A18,הדר!$A:$A,0)),0),IFERROR(INDEX(אפרת!$E:$E,MATCH($A18,אפרת!$A:$A,0)),0))=0,"",MAX(IFERROR(INDEX(ארז!$E:$E,MATCH($A18,ארז!$A:$A,0)),0),IFERROR(INDEX(הדר!$E:$E,MATCH($A18,הדר!$A:$A,0)),0),IFERROR(INDEX(אפרת!$E:$E,MATCH($A18,אפרת!$A:$A,0)),0))),""))</f>
        <v/>
      </c>
      <c r="I18" s="10" t="str">
        <f>IF($A18="","",IFERROR(IF(MAX(IFERROR(INDEX(ארז!$E:$E,MATCH($A18,ארז!$A:$A,0)),0),IFERROR(INDEX(הדר!$E:$E,MATCH($A18,הדר!$A:$A,0)),0),IFERROR(INDEX(אפרת!$E:$E,MATCH($A18,אפרת!$A:$A,0)),0))=0,"",IF(IFERROR(INDEX(ארז!$E:$E,MATCH($A18,ארז!$A:$A,0)),0)=MAX(IFERROR(INDEX(ארז!$E:$E,MATCH($A18,ארז!$A:$A,0)),0),IFERROR(INDEX(הדר!$E:$E,MATCH($A18,הדר!$A:$A,0)),0),IFERROR(INDEX(אפרת!$E:$E,MATCH($A18,אפרת!$A:$A,0)),0)),"ארז",IF(IFERROR(INDEX(הדר!$E:$E,MATCH($A18,הדר!$A:$A,0)),0)=MAX(IFERROR(INDEX(ארז!$E:$E,MATCH($A18,ארז!$A:$A,0)),0),IFERROR(INDEX(הדר!$E:$E,MATCH($A18,הדר!$A:$A,0)),0),IFERROR(INDEX(אפרת!$E:$E,MATCH($A18,אפרת!$A:$A,0)),0)),"הדר","אפרת"))),""))</f>
        <v/>
      </c>
    </row>
    <row r="19" spans="1:9" ht="22.05" customHeight="1" x14ac:dyDescent="0.3">
      <c r="A19" s="2"/>
      <c r="B19" s="2"/>
      <c r="C19" s="2"/>
      <c r="D19" s="2"/>
      <c r="E19" s="3" t="str">
        <f>IF($A19="","—",IFERROR(INDEX(ארז!$G:$G,MATCH($A19,ארז!$A:$A,0)),"—"))</f>
        <v>—</v>
      </c>
      <c r="F19" s="3" t="str">
        <f>IF($A19="","—",IFERROR(INDEX(הדר!$G:$G,MATCH($A19,הדר!$A:$A,0)),"—"))</f>
        <v>—</v>
      </c>
      <c r="G19" s="3" t="str">
        <f>IF($A19="","—",IFERROR(INDEX(אפרת!$G:$G,MATCH($A19,אפרת!$A:$A,0)),"—"))</f>
        <v>—</v>
      </c>
      <c r="H19" s="4" t="str">
        <f>IF($A19="","",IFERROR(IF(MAX(IFERROR(INDEX(ארז!$E:$E,MATCH($A19,ארז!$A:$A,0)),0),IFERROR(INDEX(הדר!$E:$E,MATCH($A19,הדר!$A:$A,0)),0),IFERROR(INDEX(אפרת!$E:$E,MATCH($A19,אפרת!$A:$A,0)),0))=0,"",MAX(IFERROR(INDEX(ארז!$E:$E,MATCH($A19,ארז!$A:$A,0)),0),IFERROR(INDEX(הדר!$E:$E,MATCH($A19,הדר!$A:$A,0)),0),IFERROR(INDEX(אפרת!$E:$E,MATCH($A19,אפרת!$A:$A,0)),0))),""))</f>
        <v/>
      </c>
      <c r="I19" s="3" t="str">
        <f>IF($A19="","",IFERROR(IF(MAX(IFERROR(INDEX(ארז!$E:$E,MATCH($A19,ארז!$A:$A,0)),0),IFERROR(INDEX(הדר!$E:$E,MATCH($A19,הדר!$A:$A,0)),0),IFERROR(INDEX(אפרת!$E:$E,MATCH($A19,אפרת!$A:$A,0)),0))=0,"",IF(IFERROR(INDEX(ארז!$E:$E,MATCH($A19,ארז!$A:$A,0)),0)=MAX(IFERROR(INDEX(ארז!$E:$E,MATCH($A19,ארז!$A:$A,0)),0),IFERROR(INDEX(הדר!$E:$E,MATCH($A19,הדר!$A:$A,0)),0),IFERROR(INDEX(אפרת!$E:$E,MATCH($A19,אפרת!$A:$A,0)),0)),"ארז",IF(IFERROR(INDEX(הדר!$E:$E,MATCH($A19,הדר!$A:$A,0)),0)=MAX(IFERROR(INDEX(ארז!$E:$E,MATCH($A19,ארז!$A:$A,0)),0),IFERROR(INDEX(הדר!$E:$E,MATCH($A19,הדר!$A:$A,0)),0),IFERROR(INDEX(אפרת!$E:$E,MATCH($A19,אפרת!$A:$A,0)),0)),"הדר","אפרת"))),""))</f>
        <v/>
      </c>
    </row>
    <row r="20" spans="1:9" ht="22.05" customHeight="1" x14ac:dyDescent="0.3">
      <c r="A20" s="5"/>
      <c r="B20" s="5"/>
      <c r="C20" s="5"/>
      <c r="D20" s="5"/>
      <c r="E20" s="6" t="str">
        <f>IF($A20="","—",IFERROR(INDEX(ארז!$G:$G,MATCH($A20,ארז!$A:$A,0)),"—"))</f>
        <v>—</v>
      </c>
      <c r="F20" s="7" t="str">
        <f>IF($A20="","—",IFERROR(INDEX(הדר!$G:$G,MATCH($A20,הדר!$A:$A,0)),"—"))</f>
        <v>—</v>
      </c>
      <c r="G20" s="8" t="str">
        <f>IF($A20="","—",IFERROR(INDEX(אפרת!$G:$G,MATCH($A20,אפרת!$A:$A,0)),"—"))</f>
        <v>—</v>
      </c>
      <c r="H20" s="9" t="str">
        <f>IF($A20="","",IFERROR(IF(MAX(IFERROR(INDEX(ארז!$E:$E,MATCH($A20,ארז!$A:$A,0)),0),IFERROR(INDEX(הדר!$E:$E,MATCH($A20,הדר!$A:$A,0)),0),IFERROR(INDEX(אפרת!$E:$E,MATCH($A20,אפרת!$A:$A,0)),0))=0,"",MAX(IFERROR(INDEX(ארז!$E:$E,MATCH($A20,ארז!$A:$A,0)),0),IFERROR(INDEX(הדר!$E:$E,MATCH($A20,הדר!$A:$A,0)),0),IFERROR(INDEX(אפרת!$E:$E,MATCH($A20,אפרת!$A:$A,0)),0))),""))</f>
        <v/>
      </c>
      <c r="I20" s="10" t="str">
        <f>IF($A20="","",IFERROR(IF(MAX(IFERROR(INDEX(ארז!$E:$E,MATCH($A20,ארז!$A:$A,0)),0),IFERROR(INDEX(הדר!$E:$E,MATCH($A20,הדר!$A:$A,0)),0),IFERROR(INDEX(אפרת!$E:$E,MATCH($A20,אפרת!$A:$A,0)),0))=0,"",IF(IFERROR(INDEX(ארז!$E:$E,MATCH($A20,ארז!$A:$A,0)),0)=MAX(IFERROR(INDEX(ארז!$E:$E,MATCH($A20,ארז!$A:$A,0)),0),IFERROR(INDEX(הדר!$E:$E,MATCH($A20,הדר!$A:$A,0)),0),IFERROR(INDEX(אפרת!$E:$E,MATCH($A20,אפרת!$A:$A,0)),0)),"ארז",IF(IFERROR(INDEX(הדר!$E:$E,MATCH($A20,הדר!$A:$A,0)),0)=MAX(IFERROR(INDEX(ארז!$E:$E,MATCH($A20,ארז!$A:$A,0)),0),IFERROR(INDEX(הדר!$E:$E,MATCH($A20,הדר!$A:$A,0)),0),IFERROR(INDEX(אפרת!$E:$E,MATCH($A20,אפרת!$A:$A,0)),0)),"הדר","אפרת"))),""))</f>
        <v/>
      </c>
    </row>
    <row r="21" spans="1:9" ht="22.05" customHeight="1" x14ac:dyDescent="0.3">
      <c r="A21" s="2"/>
      <c r="B21" s="2"/>
      <c r="C21" s="2"/>
      <c r="D21" s="2"/>
      <c r="E21" s="3" t="str">
        <f>IF($A21="","—",IFERROR(INDEX(ארז!$G:$G,MATCH($A21,ארז!$A:$A,0)),"—"))</f>
        <v>—</v>
      </c>
      <c r="F21" s="3" t="str">
        <f>IF($A21="","—",IFERROR(INDEX(הדר!$G:$G,MATCH($A21,הדר!$A:$A,0)),"—"))</f>
        <v>—</v>
      </c>
      <c r="G21" s="3" t="str">
        <f>IF($A21="","—",IFERROR(INDEX(אפרת!$G:$G,MATCH($A21,אפרת!$A:$A,0)),"—"))</f>
        <v>—</v>
      </c>
      <c r="H21" s="4" t="str">
        <f>IF($A21="","",IFERROR(IF(MAX(IFERROR(INDEX(ארז!$E:$E,MATCH($A21,ארז!$A:$A,0)),0),IFERROR(INDEX(הדר!$E:$E,MATCH($A21,הדר!$A:$A,0)),0),IFERROR(INDEX(אפרת!$E:$E,MATCH($A21,אפרת!$A:$A,0)),0))=0,"",MAX(IFERROR(INDEX(ארז!$E:$E,MATCH($A21,ארז!$A:$A,0)),0),IFERROR(INDEX(הדר!$E:$E,MATCH($A21,הדר!$A:$A,0)),0),IFERROR(INDEX(אפרת!$E:$E,MATCH($A21,אפרת!$A:$A,0)),0))),""))</f>
        <v/>
      </c>
      <c r="I21" s="3" t="str">
        <f>IF($A21="","",IFERROR(IF(MAX(IFERROR(INDEX(ארז!$E:$E,MATCH($A21,ארז!$A:$A,0)),0),IFERROR(INDEX(הדר!$E:$E,MATCH($A21,הדר!$A:$A,0)),0),IFERROR(INDEX(אפרת!$E:$E,MATCH($A21,אפרת!$A:$A,0)),0))=0,"",IF(IFERROR(INDEX(ארז!$E:$E,MATCH($A21,ארז!$A:$A,0)),0)=MAX(IFERROR(INDEX(ארז!$E:$E,MATCH($A21,ארז!$A:$A,0)),0),IFERROR(INDEX(הדר!$E:$E,MATCH($A21,הדר!$A:$A,0)),0),IFERROR(INDEX(אפרת!$E:$E,MATCH($A21,אפרת!$A:$A,0)),0)),"ארז",IF(IFERROR(INDEX(הדר!$E:$E,MATCH($A21,הדר!$A:$A,0)),0)=MAX(IFERROR(INDEX(ארז!$E:$E,MATCH($A21,ארז!$A:$A,0)),0),IFERROR(INDEX(הדר!$E:$E,MATCH($A21,הדר!$A:$A,0)),0),IFERROR(INDEX(אפרת!$E:$E,MATCH($A21,אפרת!$A:$A,0)),0)),"הדר","אפרת"))),""))</f>
        <v/>
      </c>
    </row>
    <row r="22" spans="1:9" ht="22.05" customHeight="1" x14ac:dyDescent="0.3">
      <c r="A22" s="5"/>
      <c r="B22" s="5"/>
      <c r="C22" s="5"/>
      <c r="D22" s="5"/>
      <c r="E22" s="6" t="str">
        <f>IF($A22="","—",IFERROR(INDEX(ארז!$G:$G,MATCH($A22,ארז!$A:$A,0)),"—"))</f>
        <v>—</v>
      </c>
      <c r="F22" s="7" t="str">
        <f>IF($A22="","—",IFERROR(INDEX(הדר!$G:$G,MATCH($A22,הדר!$A:$A,0)),"—"))</f>
        <v>—</v>
      </c>
      <c r="G22" s="8" t="str">
        <f>IF($A22="","—",IFERROR(INDEX(אפרת!$G:$G,MATCH($A22,אפרת!$A:$A,0)),"—"))</f>
        <v>—</v>
      </c>
      <c r="H22" s="9" t="str">
        <f>IF($A22="","",IFERROR(IF(MAX(IFERROR(INDEX(ארז!$E:$E,MATCH($A22,ארז!$A:$A,0)),0),IFERROR(INDEX(הדר!$E:$E,MATCH($A22,הדר!$A:$A,0)),0),IFERROR(INDEX(אפרת!$E:$E,MATCH($A22,אפרת!$A:$A,0)),0))=0,"",MAX(IFERROR(INDEX(ארז!$E:$E,MATCH($A22,ארז!$A:$A,0)),0),IFERROR(INDEX(הדר!$E:$E,MATCH($A22,הדר!$A:$A,0)),0),IFERROR(INDEX(אפרת!$E:$E,MATCH($A22,אפרת!$A:$A,0)),0))),""))</f>
        <v/>
      </c>
      <c r="I22" s="10" t="str">
        <f>IF($A22="","",IFERROR(IF(MAX(IFERROR(INDEX(ארז!$E:$E,MATCH($A22,ארז!$A:$A,0)),0),IFERROR(INDEX(הדר!$E:$E,MATCH($A22,הדר!$A:$A,0)),0),IFERROR(INDEX(אפרת!$E:$E,MATCH($A22,אפרת!$A:$A,0)),0))=0,"",IF(IFERROR(INDEX(ארז!$E:$E,MATCH($A22,ארז!$A:$A,0)),0)=MAX(IFERROR(INDEX(ארז!$E:$E,MATCH($A22,ארז!$A:$A,0)),0),IFERROR(INDEX(הדר!$E:$E,MATCH($A22,הדר!$A:$A,0)),0),IFERROR(INDEX(אפרת!$E:$E,MATCH($A22,אפרת!$A:$A,0)),0)),"ארז",IF(IFERROR(INDEX(הדר!$E:$E,MATCH($A22,הדר!$A:$A,0)),0)=MAX(IFERROR(INDEX(ארז!$E:$E,MATCH($A22,ארז!$A:$A,0)),0),IFERROR(INDEX(הדר!$E:$E,MATCH($A22,הדר!$A:$A,0)),0),IFERROR(INDEX(אפרת!$E:$E,MATCH($A22,אפרת!$A:$A,0)),0)),"הדר","אפרת"))),""))</f>
        <v/>
      </c>
    </row>
    <row r="23" spans="1:9" ht="22.05" customHeight="1" x14ac:dyDescent="0.3">
      <c r="A23" s="2"/>
      <c r="B23" s="2"/>
      <c r="C23" s="2"/>
      <c r="D23" s="2"/>
      <c r="E23" s="3" t="str">
        <f>IF($A23="","—",IFERROR(INDEX(ארז!$G:$G,MATCH($A23,ארז!$A:$A,0)),"—"))</f>
        <v>—</v>
      </c>
      <c r="F23" s="3" t="str">
        <f>IF($A23="","—",IFERROR(INDEX(הדר!$G:$G,MATCH($A23,הדר!$A:$A,0)),"—"))</f>
        <v>—</v>
      </c>
      <c r="G23" s="3" t="str">
        <f>IF($A23="","—",IFERROR(INDEX(אפרת!$G:$G,MATCH($A23,אפרת!$A:$A,0)),"—"))</f>
        <v>—</v>
      </c>
      <c r="H23" s="4" t="str">
        <f>IF($A23="","",IFERROR(IF(MAX(IFERROR(INDEX(ארז!$E:$E,MATCH($A23,ארז!$A:$A,0)),0),IFERROR(INDEX(הדר!$E:$E,MATCH($A23,הדר!$A:$A,0)),0),IFERROR(INDEX(אפרת!$E:$E,MATCH($A23,אפרת!$A:$A,0)),0))=0,"",MAX(IFERROR(INDEX(ארז!$E:$E,MATCH($A23,ארז!$A:$A,0)),0),IFERROR(INDEX(הדר!$E:$E,MATCH($A23,הדר!$A:$A,0)),0),IFERROR(INDEX(אפרת!$E:$E,MATCH($A23,אפרת!$A:$A,0)),0))),""))</f>
        <v/>
      </c>
      <c r="I23" s="3" t="str">
        <f>IF($A23="","",IFERROR(IF(MAX(IFERROR(INDEX(ארז!$E:$E,MATCH($A23,ארז!$A:$A,0)),0),IFERROR(INDEX(הדר!$E:$E,MATCH($A23,הדר!$A:$A,0)),0),IFERROR(INDEX(אפרת!$E:$E,MATCH($A23,אפרת!$A:$A,0)),0))=0,"",IF(IFERROR(INDEX(ארז!$E:$E,MATCH($A23,ארז!$A:$A,0)),0)=MAX(IFERROR(INDEX(ארז!$E:$E,MATCH($A23,ארז!$A:$A,0)),0),IFERROR(INDEX(הדר!$E:$E,MATCH($A23,הדר!$A:$A,0)),0),IFERROR(INDEX(אפרת!$E:$E,MATCH($A23,אפרת!$A:$A,0)),0)),"ארז",IF(IFERROR(INDEX(הדר!$E:$E,MATCH($A23,הדר!$A:$A,0)),0)=MAX(IFERROR(INDEX(ארז!$E:$E,MATCH($A23,ארז!$A:$A,0)),0),IFERROR(INDEX(הדר!$E:$E,MATCH($A23,הדר!$A:$A,0)),0),IFERROR(INDEX(אפרת!$E:$E,MATCH($A23,אפרת!$A:$A,0)),0)),"הדר","אפרת"))),""))</f>
        <v/>
      </c>
    </row>
    <row r="24" spans="1:9" ht="22.05" customHeight="1" x14ac:dyDescent="0.3">
      <c r="A24" s="5"/>
      <c r="B24" s="5"/>
      <c r="C24" s="5"/>
      <c r="D24" s="5"/>
      <c r="E24" s="6" t="str">
        <f>IF($A24="","—",IFERROR(INDEX(ארז!$G:$G,MATCH($A24,ארז!$A:$A,0)),"—"))</f>
        <v>—</v>
      </c>
      <c r="F24" s="7" t="str">
        <f>IF($A24="","—",IFERROR(INDEX(הדר!$G:$G,MATCH($A24,הדר!$A:$A,0)),"—"))</f>
        <v>—</v>
      </c>
      <c r="G24" s="8" t="str">
        <f>IF($A24="","—",IFERROR(INDEX(אפרת!$G:$G,MATCH($A24,אפרת!$A:$A,0)),"—"))</f>
        <v>—</v>
      </c>
      <c r="H24" s="9" t="str">
        <f>IF($A24="","",IFERROR(IF(MAX(IFERROR(INDEX(ארז!$E:$E,MATCH($A24,ארז!$A:$A,0)),0),IFERROR(INDEX(הדר!$E:$E,MATCH($A24,הדר!$A:$A,0)),0),IFERROR(INDEX(אפרת!$E:$E,MATCH($A24,אפרת!$A:$A,0)),0))=0,"",MAX(IFERROR(INDEX(ארז!$E:$E,MATCH($A24,ארז!$A:$A,0)),0),IFERROR(INDEX(הדר!$E:$E,MATCH($A24,הדר!$A:$A,0)),0),IFERROR(INDEX(אפרת!$E:$E,MATCH($A24,אפרת!$A:$A,0)),0))),""))</f>
        <v/>
      </c>
      <c r="I24" s="10" t="str">
        <f>IF($A24="","",IFERROR(IF(MAX(IFERROR(INDEX(ארז!$E:$E,MATCH($A24,ארז!$A:$A,0)),0),IFERROR(INDEX(הדר!$E:$E,MATCH($A24,הדר!$A:$A,0)),0),IFERROR(INDEX(אפרת!$E:$E,MATCH($A24,אפרת!$A:$A,0)),0))=0,"",IF(IFERROR(INDEX(ארז!$E:$E,MATCH($A24,ארז!$A:$A,0)),0)=MAX(IFERROR(INDEX(ארז!$E:$E,MATCH($A24,ארז!$A:$A,0)),0),IFERROR(INDEX(הדר!$E:$E,MATCH($A24,הדר!$A:$A,0)),0),IFERROR(INDEX(אפרת!$E:$E,MATCH($A24,אפרת!$A:$A,0)),0)),"ארז",IF(IFERROR(INDEX(הדר!$E:$E,MATCH($A24,הדר!$A:$A,0)),0)=MAX(IFERROR(INDEX(ארז!$E:$E,MATCH($A24,ארז!$A:$A,0)),0),IFERROR(INDEX(הדר!$E:$E,MATCH($A24,הדר!$A:$A,0)),0),IFERROR(INDEX(אפרת!$E:$E,MATCH($A24,אפרת!$A:$A,0)),0)),"הדר","אפרת"))),""))</f>
        <v/>
      </c>
    </row>
    <row r="25" spans="1:9" ht="22.05" customHeight="1" x14ac:dyDescent="0.3">
      <c r="A25" s="2"/>
      <c r="B25" s="2"/>
      <c r="C25" s="2"/>
      <c r="D25" s="2"/>
      <c r="E25" s="3" t="str">
        <f>IF($A25="","—",IFERROR(INDEX(ארז!$G:$G,MATCH($A25,ארז!$A:$A,0)),"—"))</f>
        <v>—</v>
      </c>
      <c r="F25" s="3" t="str">
        <f>IF($A25="","—",IFERROR(INDEX(הדר!$G:$G,MATCH($A25,הדר!$A:$A,0)),"—"))</f>
        <v>—</v>
      </c>
      <c r="G25" s="3" t="str">
        <f>IF($A25="","—",IFERROR(INDEX(אפרת!$G:$G,MATCH($A25,אפרת!$A:$A,0)),"—"))</f>
        <v>—</v>
      </c>
      <c r="H25" s="4" t="str">
        <f>IF($A25="","",IFERROR(IF(MAX(IFERROR(INDEX(ארז!$E:$E,MATCH($A25,ארז!$A:$A,0)),0),IFERROR(INDEX(הדר!$E:$E,MATCH($A25,הדר!$A:$A,0)),0),IFERROR(INDEX(אפרת!$E:$E,MATCH($A25,אפרת!$A:$A,0)),0))=0,"",MAX(IFERROR(INDEX(ארז!$E:$E,MATCH($A25,ארז!$A:$A,0)),0),IFERROR(INDEX(הדר!$E:$E,MATCH($A25,הדר!$A:$A,0)),0),IFERROR(INDEX(אפרת!$E:$E,MATCH($A25,אפרת!$A:$A,0)),0))),""))</f>
        <v/>
      </c>
      <c r="I25" s="3" t="str">
        <f>IF($A25="","",IFERROR(IF(MAX(IFERROR(INDEX(ארז!$E:$E,MATCH($A25,ארז!$A:$A,0)),0),IFERROR(INDEX(הדר!$E:$E,MATCH($A25,הדר!$A:$A,0)),0),IFERROR(INDEX(אפרת!$E:$E,MATCH($A25,אפרת!$A:$A,0)),0))=0,"",IF(IFERROR(INDEX(ארז!$E:$E,MATCH($A25,ארז!$A:$A,0)),0)=MAX(IFERROR(INDEX(ארז!$E:$E,MATCH($A25,ארז!$A:$A,0)),0),IFERROR(INDEX(הדר!$E:$E,MATCH($A25,הדר!$A:$A,0)),0),IFERROR(INDEX(אפרת!$E:$E,MATCH($A25,אפרת!$A:$A,0)),0)),"ארז",IF(IFERROR(INDEX(הדר!$E:$E,MATCH($A25,הדר!$A:$A,0)),0)=MAX(IFERROR(INDEX(ארז!$E:$E,MATCH($A25,ארז!$A:$A,0)),0),IFERROR(INDEX(הדר!$E:$E,MATCH($A25,הדר!$A:$A,0)),0),IFERROR(INDEX(אפרת!$E:$E,MATCH($A25,אפרת!$A:$A,0)),0)),"הדר","אפרת"))),""))</f>
        <v/>
      </c>
    </row>
    <row r="26" spans="1:9" ht="22.05" customHeight="1" x14ac:dyDescent="0.3">
      <c r="A26" s="5"/>
      <c r="B26" s="5"/>
      <c r="C26" s="5"/>
      <c r="D26" s="5"/>
      <c r="E26" s="6" t="str">
        <f>IF($A26="","—",IFERROR(INDEX(ארז!$G:$G,MATCH($A26,ארז!$A:$A,0)),"—"))</f>
        <v>—</v>
      </c>
      <c r="F26" s="7" t="str">
        <f>IF($A26="","—",IFERROR(INDEX(הדר!$G:$G,MATCH($A26,הדר!$A:$A,0)),"—"))</f>
        <v>—</v>
      </c>
      <c r="G26" s="8" t="str">
        <f>IF($A26="","—",IFERROR(INDEX(אפרת!$G:$G,MATCH($A26,אפרת!$A:$A,0)),"—"))</f>
        <v>—</v>
      </c>
      <c r="H26" s="9" t="str">
        <f>IF($A26="","",IFERROR(IF(MAX(IFERROR(INDEX(ארז!$E:$E,MATCH($A26,ארז!$A:$A,0)),0),IFERROR(INDEX(הדר!$E:$E,MATCH($A26,הדר!$A:$A,0)),0),IFERROR(INDEX(אפרת!$E:$E,MATCH($A26,אפרת!$A:$A,0)),0))=0,"",MAX(IFERROR(INDEX(ארז!$E:$E,MATCH($A26,ארז!$A:$A,0)),0),IFERROR(INDEX(הדר!$E:$E,MATCH($A26,הדר!$A:$A,0)),0),IFERROR(INDEX(אפרת!$E:$E,MATCH($A26,אפרת!$A:$A,0)),0))),""))</f>
        <v/>
      </c>
      <c r="I26" s="10" t="str">
        <f>IF($A26="","",IFERROR(IF(MAX(IFERROR(INDEX(ארז!$E:$E,MATCH($A26,ארז!$A:$A,0)),0),IFERROR(INDEX(הדר!$E:$E,MATCH($A26,הדר!$A:$A,0)),0),IFERROR(INDEX(אפרת!$E:$E,MATCH($A26,אפרת!$A:$A,0)),0))=0,"",IF(IFERROR(INDEX(ארז!$E:$E,MATCH($A26,ארז!$A:$A,0)),0)=MAX(IFERROR(INDEX(ארז!$E:$E,MATCH($A26,ארז!$A:$A,0)),0),IFERROR(INDEX(הדר!$E:$E,MATCH($A26,הדר!$A:$A,0)),0),IFERROR(INDEX(אפרת!$E:$E,MATCH($A26,אפרת!$A:$A,0)),0)),"ארז",IF(IFERROR(INDEX(הדר!$E:$E,MATCH($A26,הדר!$A:$A,0)),0)=MAX(IFERROR(INDEX(ארז!$E:$E,MATCH($A26,ארז!$A:$A,0)),0),IFERROR(INDEX(הדר!$E:$E,MATCH($A26,הדר!$A:$A,0)),0),IFERROR(INDEX(אפרת!$E:$E,MATCH($A26,אפרת!$A:$A,0)),0)),"הדר","אפרת"))),""))</f>
        <v/>
      </c>
    </row>
    <row r="27" spans="1:9" ht="22.05" customHeight="1" x14ac:dyDescent="0.3">
      <c r="A27" s="2"/>
      <c r="B27" s="2"/>
      <c r="C27" s="2"/>
      <c r="D27" s="2"/>
      <c r="E27" s="3" t="str">
        <f>IF($A27="","—",IFERROR(INDEX(ארז!$G:$G,MATCH($A27,ארז!$A:$A,0)),"—"))</f>
        <v>—</v>
      </c>
      <c r="F27" s="3" t="str">
        <f>IF($A27="","—",IFERROR(INDEX(הדר!$G:$G,MATCH($A27,הדר!$A:$A,0)),"—"))</f>
        <v>—</v>
      </c>
      <c r="G27" s="3" t="str">
        <f>IF($A27="","—",IFERROR(INDEX(אפרת!$G:$G,MATCH($A27,אפרת!$A:$A,0)),"—"))</f>
        <v>—</v>
      </c>
      <c r="H27" s="4" t="str">
        <f>IF($A27="","",IFERROR(IF(MAX(IFERROR(INDEX(ארז!$E:$E,MATCH($A27,ארז!$A:$A,0)),0),IFERROR(INDEX(הדר!$E:$E,MATCH($A27,הדר!$A:$A,0)),0),IFERROR(INDEX(אפרת!$E:$E,MATCH($A27,אפרת!$A:$A,0)),0))=0,"",MAX(IFERROR(INDEX(ארז!$E:$E,MATCH($A27,ארז!$A:$A,0)),0),IFERROR(INDEX(הדר!$E:$E,MATCH($A27,הדר!$A:$A,0)),0),IFERROR(INDEX(אפרת!$E:$E,MATCH($A27,אפרת!$A:$A,0)),0))),""))</f>
        <v/>
      </c>
      <c r="I27" s="3" t="str">
        <f>IF($A27="","",IFERROR(IF(MAX(IFERROR(INDEX(ארז!$E:$E,MATCH($A27,ארז!$A:$A,0)),0),IFERROR(INDEX(הדר!$E:$E,MATCH($A27,הדר!$A:$A,0)),0),IFERROR(INDEX(אפרת!$E:$E,MATCH($A27,אפרת!$A:$A,0)),0))=0,"",IF(IFERROR(INDEX(ארז!$E:$E,MATCH($A27,ארז!$A:$A,0)),0)=MAX(IFERROR(INDEX(ארז!$E:$E,MATCH($A27,ארז!$A:$A,0)),0),IFERROR(INDEX(הדר!$E:$E,MATCH($A27,הדר!$A:$A,0)),0),IFERROR(INDEX(אפרת!$E:$E,MATCH($A27,אפרת!$A:$A,0)),0)),"ארז",IF(IFERROR(INDEX(הדר!$E:$E,MATCH($A27,הדר!$A:$A,0)),0)=MAX(IFERROR(INDEX(ארז!$E:$E,MATCH($A27,ארז!$A:$A,0)),0),IFERROR(INDEX(הדר!$E:$E,MATCH($A27,הדר!$A:$A,0)),0),IFERROR(INDEX(אפרת!$E:$E,MATCH($A27,אפרת!$A:$A,0)),0)),"הדר","אפרת"))),""))</f>
        <v/>
      </c>
    </row>
    <row r="28" spans="1:9" ht="22.05" customHeight="1" x14ac:dyDescent="0.3">
      <c r="A28" s="5"/>
      <c r="B28" s="5"/>
      <c r="C28" s="5"/>
      <c r="D28" s="5"/>
      <c r="E28" s="6" t="str">
        <f>IF($A28="","—",IFERROR(INDEX(ארז!$G:$G,MATCH($A28,ארז!$A:$A,0)),"—"))</f>
        <v>—</v>
      </c>
      <c r="F28" s="7" t="str">
        <f>IF($A28="","—",IFERROR(INDEX(הדר!$G:$G,MATCH($A28,הדר!$A:$A,0)),"—"))</f>
        <v>—</v>
      </c>
      <c r="G28" s="8" t="str">
        <f>IF($A28="","—",IFERROR(INDEX(אפרת!$G:$G,MATCH($A28,אפרת!$A:$A,0)),"—"))</f>
        <v>—</v>
      </c>
      <c r="H28" s="9" t="str">
        <f>IF($A28="","",IFERROR(IF(MAX(IFERROR(INDEX(ארז!$E:$E,MATCH($A28,ארז!$A:$A,0)),0),IFERROR(INDEX(הדר!$E:$E,MATCH($A28,הדר!$A:$A,0)),0),IFERROR(INDEX(אפרת!$E:$E,MATCH($A28,אפרת!$A:$A,0)),0))=0,"",MAX(IFERROR(INDEX(ארז!$E:$E,MATCH($A28,ארז!$A:$A,0)),0),IFERROR(INDEX(הדר!$E:$E,MATCH($A28,הדר!$A:$A,0)),0),IFERROR(INDEX(אפרת!$E:$E,MATCH($A28,אפרת!$A:$A,0)),0))),""))</f>
        <v/>
      </c>
      <c r="I28" s="10" t="str">
        <f>IF($A28="","",IFERROR(IF(MAX(IFERROR(INDEX(ארז!$E:$E,MATCH($A28,ארז!$A:$A,0)),0),IFERROR(INDEX(הדר!$E:$E,MATCH($A28,הדר!$A:$A,0)),0),IFERROR(INDEX(אפרת!$E:$E,MATCH($A28,אפרת!$A:$A,0)),0))=0,"",IF(IFERROR(INDEX(ארז!$E:$E,MATCH($A28,ארז!$A:$A,0)),0)=MAX(IFERROR(INDEX(ארז!$E:$E,MATCH($A28,ארז!$A:$A,0)),0),IFERROR(INDEX(הדר!$E:$E,MATCH($A28,הדר!$A:$A,0)),0),IFERROR(INDEX(אפרת!$E:$E,MATCH($A28,אפרת!$A:$A,0)),0)),"ארז",IF(IFERROR(INDEX(הדר!$E:$E,MATCH($A28,הדר!$A:$A,0)),0)=MAX(IFERROR(INDEX(ארז!$E:$E,MATCH($A28,ארז!$A:$A,0)),0),IFERROR(INDEX(הדר!$E:$E,MATCH($A28,הדר!$A:$A,0)),0),IFERROR(INDEX(אפרת!$E:$E,MATCH($A28,אפרת!$A:$A,0)),0)),"הדר","אפרת"))),""))</f>
        <v/>
      </c>
    </row>
    <row r="29" spans="1:9" ht="22.05" customHeight="1" x14ac:dyDescent="0.3">
      <c r="A29" s="2"/>
      <c r="B29" s="2"/>
      <c r="C29" s="2"/>
      <c r="D29" s="2"/>
      <c r="E29" s="3" t="str">
        <f>IF($A29="","—",IFERROR(INDEX(ארז!$G:$G,MATCH($A29,ארז!$A:$A,0)),"—"))</f>
        <v>—</v>
      </c>
      <c r="F29" s="3" t="str">
        <f>IF($A29="","—",IFERROR(INDEX(הדר!$G:$G,MATCH($A29,הדר!$A:$A,0)),"—"))</f>
        <v>—</v>
      </c>
      <c r="G29" s="3" t="str">
        <f>IF($A29="","—",IFERROR(INDEX(אפרת!$G:$G,MATCH($A29,אפרת!$A:$A,0)),"—"))</f>
        <v>—</v>
      </c>
      <c r="H29" s="4" t="str">
        <f>IF($A29="","",IFERROR(IF(MAX(IFERROR(INDEX(ארז!$E:$E,MATCH($A29,ארז!$A:$A,0)),0),IFERROR(INDEX(הדר!$E:$E,MATCH($A29,הדר!$A:$A,0)),0),IFERROR(INDEX(אפרת!$E:$E,MATCH($A29,אפרת!$A:$A,0)),0))=0,"",MAX(IFERROR(INDEX(ארז!$E:$E,MATCH($A29,ארז!$A:$A,0)),0),IFERROR(INDEX(הדר!$E:$E,MATCH($A29,הדר!$A:$A,0)),0),IFERROR(INDEX(אפרת!$E:$E,MATCH($A29,אפרת!$A:$A,0)),0))),""))</f>
        <v/>
      </c>
      <c r="I29" s="3" t="str">
        <f>IF($A29="","",IFERROR(IF(MAX(IFERROR(INDEX(ארז!$E:$E,MATCH($A29,ארז!$A:$A,0)),0),IFERROR(INDEX(הדר!$E:$E,MATCH($A29,הדר!$A:$A,0)),0),IFERROR(INDEX(אפרת!$E:$E,MATCH($A29,אפרת!$A:$A,0)),0))=0,"",IF(IFERROR(INDEX(ארז!$E:$E,MATCH($A29,ארז!$A:$A,0)),0)=MAX(IFERROR(INDEX(ארז!$E:$E,MATCH($A29,ארז!$A:$A,0)),0),IFERROR(INDEX(הדר!$E:$E,MATCH($A29,הדר!$A:$A,0)),0),IFERROR(INDEX(אפרת!$E:$E,MATCH($A29,אפרת!$A:$A,0)),0)),"ארז",IF(IFERROR(INDEX(הדר!$E:$E,MATCH($A29,הדר!$A:$A,0)),0)=MAX(IFERROR(INDEX(ארז!$E:$E,MATCH($A29,ארז!$A:$A,0)),0),IFERROR(INDEX(הדר!$E:$E,MATCH($A29,הדר!$A:$A,0)),0),IFERROR(INDEX(אפרת!$E:$E,MATCH($A29,אפרת!$A:$A,0)),0)),"הדר","אפרת"))),""))</f>
        <v/>
      </c>
    </row>
    <row r="30" spans="1:9" ht="22.05" customHeight="1" x14ac:dyDescent="0.3">
      <c r="A30" s="5"/>
      <c r="B30" s="5"/>
      <c r="C30" s="5"/>
      <c r="D30" s="5"/>
      <c r="E30" s="6" t="str">
        <f>IF($A30="","—",IFERROR(INDEX(ארז!$G:$G,MATCH($A30,ארז!$A:$A,0)),"—"))</f>
        <v>—</v>
      </c>
      <c r="F30" s="7" t="str">
        <f>IF($A30="","—",IFERROR(INDEX(הדר!$G:$G,MATCH($A30,הדר!$A:$A,0)),"—"))</f>
        <v>—</v>
      </c>
      <c r="G30" s="8" t="str">
        <f>IF($A30="","—",IFERROR(INDEX(אפרת!$G:$G,MATCH($A30,אפרת!$A:$A,0)),"—"))</f>
        <v>—</v>
      </c>
      <c r="H30" s="9" t="str">
        <f>IF($A30="","",IFERROR(IF(MAX(IFERROR(INDEX(ארז!$E:$E,MATCH($A30,ארז!$A:$A,0)),0),IFERROR(INDEX(הדר!$E:$E,MATCH($A30,הדר!$A:$A,0)),0),IFERROR(INDEX(אפרת!$E:$E,MATCH($A30,אפרת!$A:$A,0)),0))=0,"",MAX(IFERROR(INDEX(ארז!$E:$E,MATCH($A30,ארז!$A:$A,0)),0),IFERROR(INDEX(הדר!$E:$E,MATCH($A30,הדר!$A:$A,0)),0),IFERROR(INDEX(אפרת!$E:$E,MATCH($A30,אפרת!$A:$A,0)),0))),""))</f>
        <v/>
      </c>
      <c r="I30" s="10" t="str">
        <f>IF($A30="","",IFERROR(IF(MAX(IFERROR(INDEX(ארז!$E:$E,MATCH($A30,ארז!$A:$A,0)),0),IFERROR(INDEX(הדר!$E:$E,MATCH($A30,הדר!$A:$A,0)),0),IFERROR(INDEX(אפרת!$E:$E,MATCH($A30,אפרת!$A:$A,0)),0))=0,"",IF(IFERROR(INDEX(ארז!$E:$E,MATCH($A30,ארז!$A:$A,0)),0)=MAX(IFERROR(INDEX(ארז!$E:$E,MATCH($A30,ארז!$A:$A,0)),0),IFERROR(INDEX(הדר!$E:$E,MATCH($A30,הדר!$A:$A,0)),0),IFERROR(INDEX(אפרת!$E:$E,MATCH($A30,אפרת!$A:$A,0)),0)),"ארז",IF(IFERROR(INDEX(הדר!$E:$E,MATCH($A30,הדר!$A:$A,0)),0)=MAX(IFERROR(INDEX(ארז!$E:$E,MATCH($A30,ארז!$A:$A,0)),0),IFERROR(INDEX(הדר!$E:$E,MATCH($A30,הדר!$A:$A,0)),0),IFERROR(INDEX(אפרת!$E:$E,MATCH($A30,אפרת!$A:$A,0)),0)),"הדר","אפרת"))),""))</f>
        <v/>
      </c>
    </row>
    <row r="31" spans="1:9" ht="22.05" customHeight="1" x14ac:dyDescent="0.3">
      <c r="A31" s="2"/>
      <c r="B31" s="2"/>
      <c r="C31" s="2"/>
      <c r="D31" s="2"/>
      <c r="E31" s="3" t="str">
        <f>IF($A31="","—",IFERROR(INDEX(ארז!$G:$G,MATCH($A31,ארז!$A:$A,0)),"—"))</f>
        <v>—</v>
      </c>
      <c r="F31" s="3" t="str">
        <f>IF($A31="","—",IFERROR(INDEX(הדר!$G:$G,MATCH($A31,הדר!$A:$A,0)),"—"))</f>
        <v>—</v>
      </c>
      <c r="G31" s="3" t="str">
        <f>IF($A31="","—",IFERROR(INDEX(אפרת!$G:$G,MATCH($A31,אפרת!$A:$A,0)),"—"))</f>
        <v>—</v>
      </c>
      <c r="H31" s="4" t="str">
        <f>IF($A31="","",IFERROR(IF(MAX(IFERROR(INDEX(ארז!$E:$E,MATCH($A31,ארז!$A:$A,0)),0),IFERROR(INDEX(הדר!$E:$E,MATCH($A31,הדר!$A:$A,0)),0),IFERROR(INDEX(אפרת!$E:$E,MATCH($A31,אפרת!$A:$A,0)),0))=0,"",MAX(IFERROR(INDEX(ארז!$E:$E,MATCH($A31,ארז!$A:$A,0)),0),IFERROR(INDEX(הדר!$E:$E,MATCH($A31,הדר!$A:$A,0)),0),IFERROR(INDEX(אפרת!$E:$E,MATCH($A31,אפרת!$A:$A,0)),0))),""))</f>
        <v/>
      </c>
      <c r="I31" s="3" t="str">
        <f>IF($A31="","",IFERROR(IF(MAX(IFERROR(INDEX(ארז!$E:$E,MATCH($A31,ארז!$A:$A,0)),0),IFERROR(INDEX(הדר!$E:$E,MATCH($A31,הדר!$A:$A,0)),0),IFERROR(INDEX(אפרת!$E:$E,MATCH($A31,אפרת!$A:$A,0)),0))=0,"",IF(IFERROR(INDEX(ארז!$E:$E,MATCH($A31,ארז!$A:$A,0)),0)=MAX(IFERROR(INDEX(ארז!$E:$E,MATCH($A31,ארז!$A:$A,0)),0),IFERROR(INDEX(הדר!$E:$E,MATCH($A31,הדר!$A:$A,0)),0),IFERROR(INDEX(אפרת!$E:$E,MATCH($A31,אפרת!$A:$A,0)),0)),"ארז",IF(IFERROR(INDEX(הדר!$E:$E,MATCH($A31,הדר!$A:$A,0)),0)=MAX(IFERROR(INDEX(ארז!$E:$E,MATCH($A31,ארז!$A:$A,0)),0),IFERROR(INDEX(הדר!$E:$E,MATCH($A31,הדר!$A:$A,0)),0),IFERROR(INDEX(אפרת!$E:$E,MATCH($A31,אפרת!$A:$A,0)),0)),"הדר","אפרת"))),""))</f>
        <v/>
      </c>
    </row>
    <row r="32" spans="1:9" ht="22.05" customHeight="1" x14ac:dyDescent="0.3">
      <c r="A32" s="5"/>
      <c r="B32" s="5"/>
      <c r="C32" s="5"/>
      <c r="D32" s="5"/>
      <c r="E32" s="6" t="str">
        <f>IF($A32="","—",IFERROR(INDEX(ארז!$G:$G,MATCH($A32,ארז!$A:$A,0)),"—"))</f>
        <v>—</v>
      </c>
      <c r="F32" s="7" t="str">
        <f>IF($A32="","—",IFERROR(INDEX(הדר!$G:$G,MATCH($A32,הדר!$A:$A,0)),"—"))</f>
        <v>—</v>
      </c>
      <c r="G32" s="8" t="str">
        <f>IF($A32="","—",IFERROR(INDEX(אפרת!$G:$G,MATCH($A32,אפרת!$A:$A,0)),"—"))</f>
        <v>—</v>
      </c>
      <c r="H32" s="9" t="str">
        <f>IF($A32="","",IFERROR(IF(MAX(IFERROR(INDEX(ארז!$E:$E,MATCH($A32,ארז!$A:$A,0)),0),IFERROR(INDEX(הדר!$E:$E,MATCH($A32,הדר!$A:$A,0)),0),IFERROR(INDEX(אפרת!$E:$E,MATCH($A32,אפרת!$A:$A,0)),0))=0,"",MAX(IFERROR(INDEX(ארז!$E:$E,MATCH($A32,ארז!$A:$A,0)),0),IFERROR(INDEX(הדר!$E:$E,MATCH($A32,הדר!$A:$A,0)),0),IFERROR(INDEX(אפרת!$E:$E,MATCH($A32,אפרת!$A:$A,0)),0))),""))</f>
        <v/>
      </c>
      <c r="I32" s="10" t="str">
        <f>IF($A32="","",IFERROR(IF(MAX(IFERROR(INDEX(ארז!$E:$E,MATCH($A32,ארז!$A:$A,0)),0),IFERROR(INDEX(הדר!$E:$E,MATCH($A32,הדר!$A:$A,0)),0),IFERROR(INDEX(אפרת!$E:$E,MATCH($A32,אפרת!$A:$A,0)),0))=0,"",IF(IFERROR(INDEX(ארז!$E:$E,MATCH($A32,ארז!$A:$A,0)),0)=MAX(IFERROR(INDEX(ארז!$E:$E,MATCH($A32,ארז!$A:$A,0)),0),IFERROR(INDEX(הדר!$E:$E,MATCH($A32,הדר!$A:$A,0)),0),IFERROR(INDEX(אפרת!$E:$E,MATCH($A32,אפרת!$A:$A,0)),0)),"ארז",IF(IFERROR(INDEX(הדר!$E:$E,MATCH($A32,הדר!$A:$A,0)),0)=MAX(IFERROR(INDEX(ארז!$E:$E,MATCH($A32,ארז!$A:$A,0)),0),IFERROR(INDEX(הדר!$E:$E,MATCH($A32,הדר!$A:$A,0)),0),IFERROR(INDEX(אפרת!$E:$E,MATCH($A32,אפרת!$A:$A,0)),0)),"הדר","אפרת"))),""))</f>
        <v/>
      </c>
    </row>
  </sheetData>
  <autoFilter ref="A2:I32" xr:uid="{00000000-0001-0000-0000-000000000000}"/>
  <mergeCells count="1">
    <mergeCell ref="A1:I1"/>
  </mergeCells>
  <dataValidations count="2">
    <dataValidation type="list" sqref="C4:C32" xr:uid="{00000000-0002-0000-0000-000000000000}">
      <formula1>"ליטיגציה,חוזים,ייעוץ משפטי,נדל"</formula1>
    </dataValidation>
    <dataValidation type="list" sqref="C3" xr:uid="{17611007-264D-442D-BE87-B78C5294AA09}">
      <formula1>"ליטיגציה,חוזים,ייעוץ משפטי,נדלן"</formula1>
    </dataValidation>
  </dataValidations>
  <hyperlinks>
    <hyperlink ref="F2" location="הדר!A1" display="הדר" xr:uid="{4E15876A-B72E-47D8-ABBD-52BA3DF286FD}"/>
    <hyperlink ref="E2" location="ארז!A1" display="ארז" xr:uid="{D62FDDA2-7681-4FA1-92AF-46A8511A05F0}"/>
    <hyperlink ref="G2" location="אפרת!A1" display="אפרת" xr:uid="{7AC68A0A-C6D3-4D7C-A3CC-398155D579B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4"/>
  <sheetViews>
    <sheetView rightToLeft="1" workbookViewId="0">
      <pane ySplit="2" topLeftCell="A3" activePane="bottomLeft" state="frozen"/>
      <selection pane="bottomLeft" activeCell="B4" sqref="B4"/>
    </sheetView>
  </sheetViews>
  <sheetFormatPr defaultRowHeight="14.4" x14ac:dyDescent="0.3"/>
  <cols>
    <col min="1" max="1" width="24" customWidth="1"/>
    <col min="2" max="2" width="15" customWidth="1"/>
    <col min="3" max="4" width="28" customWidth="1"/>
    <col min="5" max="5" width="22" customWidth="1"/>
    <col min="6" max="7" width="14" customWidth="1"/>
    <col min="8" max="8" width="12" customWidth="1"/>
    <col min="9" max="9" width="15" customWidth="1"/>
    <col min="10" max="10" width="22" customWidth="1"/>
  </cols>
  <sheetData>
    <row r="1" spans="1:10" ht="34.049999999999997" customHeight="1" x14ac:dyDescent="0.3">
      <c r="A1" s="65" t="s">
        <v>10</v>
      </c>
      <c r="B1" s="61"/>
      <c r="C1" s="61"/>
      <c r="D1" s="61"/>
      <c r="E1" s="61"/>
      <c r="F1" s="61"/>
      <c r="G1" s="61"/>
      <c r="H1" s="61"/>
      <c r="I1" s="61"/>
      <c r="J1" s="61"/>
    </row>
    <row r="2" spans="1:10" ht="30" customHeight="1" x14ac:dyDescent="0.3">
      <c r="A2" s="11" t="s">
        <v>1</v>
      </c>
      <c r="B2" s="11" t="s">
        <v>11</v>
      </c>
      <c r="C2" s="11" t="s">
        <v>12</v>
      </c>
      <c r="D2" s="11" t="s">
        <v>13</v>
      </c>
      <c r="E2" s="11" t="s">
        <v>8</v>
      </c>
      <c r="F2" s="11" t="s">
        <v>14</v>
      </c>
      <c r="G2" s="11" t="s">
        <v>15</v>
      </c>
      <c r="H2" s="11" t="s">
        <v>16</v>
      </c>
      <c r="I2" s="11" t="s">
        <v>17</v>
      </c>
      <c r="J2" s="11" t="s">
        <v>18</v>
      </c>
    </row>
    <row r="3" spans="1:10" ht="22.05" customHeight="1" x14ac:dyDescent="0.3">
      <c r="A3" s="2" t="s">
        <v>22</v>
      </c>
      <c r="B3" s="2"/>
      <c r="C3" s="2"/>
      <c r="D3" s="2"/>
      <c r="E3" s="4">
        <v>46141.494895833333</v>
      </c>
      <c r="F3" s="12"/>
      <c r="G3" s="3" t="s">
        <v>25</v>
      </c>
      <c r="H3" s="2">
        <v>3333</v>
      </c>
      <c r="I3" s="2"/>
      <c r="J3" s="2"/>
    </row>
    <row r="4" spans="1:10" ht="22.05" customHeight="1" x14ac:dyDescent="0.3">
      <c r="A4" s="13"/>
      <c r="B4" s="13"/>
      <c r="C4" s="13"/>
      <c r="D4" s="13"/>
      <c r="E4" s="14"/>
      <c r="F4" s="15"/>
      <c r="G4" s="6"/>
      <c r="H4" s="13"/>
      <c r="I4" s="13"/>
      <c r="J4" s="13"/>
    </row>
    <row r="5" spans="1:10" ht="22.05" customHeight="1" x14ac:dyDescent="0.3">
      <c r="A5" s="2"/>
      <c r="B5" s="2"/>
      <c r="C5" s="2"/>
      <c r="D5" s="2"/>
      <c r="E5" s="4"/>
      <c r="F5" s="12"/>
      <c r="G5" s="3"/>
      <c r="H5" s="2"/>
      <c r="I5" s="2"/>
      <c r="J5" s="2"/>
    </row>
    <row r="6" spans="1:10" ht="22.05" customHeight="1" x14ac:dyDescent="0.3">
      <c r="A6" s="13"/>
      <c r="B6" s="13"/>
      <c r="C6" s="13"/>
      <c r="D6" s="13"/>
      <c r="E6" s="14"/>
      <c r="F6" s="15"/>
      <c r="G6" s="6"/>
      <c r="H6" s="13"/>
      <c r="I6" s="13"/>
      <c r="J6" s="13"/>
    </row>
    <row r="7" spans="1:10" ht="22.05" customHeight="1" x14ac:dyDescent="0.3">
      <c r="A7" s="2"/>
      <c r="B7" s="2"/>
      <c r="C7" s="2"/>
      <c r="D7" s="2"/>
      <c r="E7" s="4"/>
      <c r="F7" s="12"/>
      <c r="G7" s="3"/>
      <c r="H7" s="2"/>
      <c r="I7" s="2"/>
      <c r="J7" s="2"/>
    </row>
    <row r="8" spans="1:10" ht="22.05" customHeight="1" x14ac:dyDescent="0.3">
      <c r="A8" s="13"/>
      <c r="B8" s="13"/>
      <c r="C8" s="13"/>
      <c r="D8" s="13"/>
      <c r="E8" s="14"/>
      <c r="F8" s="15"/>
      <c r="G8" s="6"/>
      <c r="H8" s="13"/>
      <c r="I8" s="13"/>
      <c r="J8" s="13"/>
    </row>
    <row r="9" spans="1:10" ht="22.05" customHeight="1" x14ac:dyDescent="0.3">
      <c r="A9" s="2"/>
      <c r="B9" s="2"/>
      <c r="C9" s="2"/>
      <c r="D9" s="2"/>
      <c r="E9" s="4"/>
      <c r="F9" s="12"/>
      <c r="G9" s="3"/>
      <c r="H9" s="2"/>
      <c r="I9" s="2"/>
      <c r="J9" s="2"/>
    </row>
    <row r="10" spans="1:10" ht="22.05" customHeight="1" x14ac:dyDescent="0.3">
      <c r="A10" s="13"/>
      <c r="B10" s="13"/>
      <c r="C10" s="13"/>
      <c r="D10" s="13"/>
      <c r="E10" s="14"/>
      <c r="F10" s="15"/>
      <c r="G10" s="6"/>
      <c r="H10" s="13"/>
      <c r="I10" s="13"/>
      <c r="J10" s="13"/>
    </row>
    <row r="11" spans="1:10" ht="22.05" customHeight="1" x14ac:dyDescent="0.3">
      <c r="A11" s="2"/>
      <c r="B11" s="2"/>
      <c r="C11" s="2"/>
      <c r="D11" s="2"/>
      <c r="E11" s="4"/>
      <c r="F11" s="12"/>
      <c r="G11" s="3"/>
      <c r="H11" s="2"/>
      <c r="I11" s="2"/>
      <c r="J11" s="2"/>
    </row>
    <row r="12" spans="1:10" ht="22.05" customHeight="1" x14ac:dyDescent="0.3">
      <c r="A12" s="13"/>
      <c r="B12" s="13"/>
      <c r="C12" s="13"/>
      <c r="D12" s="13"/>
      <c r="E12" s="14"/>
      <c r="F12" s="15"/>
      <c r="G12" s="6"/>
      <c r="H12" s="13"/>
      <c r="I12" s="13"/>
      <c r="J12" s="13"/>
    </row>
    <row r="13" spans="1:10" ht="22.05" customHeight="1" x14ac:dyDescent="0.3">
      <c r="A13" s="2"/>
      <c r="B13" s="2"/>
      <c r="C13" s="2"/>
      <c r="D13" s="2"/>
      <c r="E13" s="4"/>
      <c r="F13" s="12"/>
      <c r="G13" s="3"/>
      <c r="H13" s="2"/>
      <c r="I13" s="2"/>
      <c r="J13" s="2"/>
    </row>
    <row r="14" spans="1:10" ht="22.05" customHeight="1" x14ac:dyDescent="0.3">
      <c r="A14" s="13"/>
      <c r="B14" s="13"/>
      <c r="C14" s="13"/>
      <c r="D14" s="13"/>
      <c r="E14" s="14"/>
      <c r="F14" s="15"/>
      <c r="G14" s="6"/>
      <c r="H14" s="13"/>
      <c r="I14" s="13"/>
      <c r="J14" s="13"/>
    </row>
    <row r="15" spans="1:10" ht="22.05" customHeight="1" x14ac:dyDescent="0.3">
      <c r="A15" s="2"/>
      <c r="B15" s="2"/>
      <c r="C15" s="2"/>
      <c r="D15" s="2"/>
      <c r="E15" s="4"/>
      <c r="F15" s="12"/>
      <c r="G15" s="3"/>
      <c r="H15" s="2"/>
      <c r="I15" s="2"/>
      <c r="J15" s="2"/>
    </row>
    <row r="16" spans="1:10" ht="22.05" customHeight="1" x14ac:dyDescent="0.3">
      <c r="A16" s="13"/>
      <c r="B16" s="13"/>
      <c r="C16" s="13"/>
      <c r="D16" s="13"/>
      <c r="E16" s="14"/>
      <c r="F16" s="15"/>
      <c r="G16" s="6"/>
      <c r="H16" s="13"/>
      <c r="I16" s="13"/>
      <c r="J16" s="13"/>
    </row>
    <row r="17" spans="1:10" ht="22.05" customHeight="1" x14ac:dyDescent="0.3">
      <c r="A17" s="2"/>
      <c r="B17" s="2"/>
      <c r="C17" s="2"/>
      <c r="D17" s="2"/>
      <c r="E17" s="4"/>
      <c r="F17" s="12"/>
      <c r="G17" s="3"/>
      <c r="H17" s="2"/>
      <c r="I17" s="2"/>
      <c r="J17" s="2"/>
    </row>
    <row r="18" spans="1:10" ht="22.05" customHeight="1" x14ac:dyDescent="0.3">
      <c r="A18" s="13"/>
      <c r="B18" s="13"/>
      <c r="C18" s="13"/>
      <c r="D18" s="13"/>
      <c r="E18" s="14"/>
      <c r="F18" s="15"/>
      <c r="G18" s="6"/>
      <c r="H18" s="13"/>
      <c r="I18" s="13"/>
      <c r="J18" s="13"/>
    </row>
    <row r="19" spans="1:10" ht="22.05" customHeight="1" x14ac:dyDescent="0.3">
      <c r="A19" s="2"/>
      <c r="B19" s="2"/>
      <c r="C19" s="2"/>
      <c r="D19" s="2"/>
      <c r="E19" s="4"/>
      <c r="F19" s="12"/>
      <c r="G19" s="3"/>
      <c r="H19" s="2"/>
      <c r="I19" s="2"/>
      <c r="J19" s="2"/>
    </row>
    <row r="20" spans="1:10" ht="22.05" customHeight="1" x14ac:dyDescent="0.3">
      <c r="A20" s="13"/>
      <c r="B20" s="13"/>
      <c r="C20" s="13"/>
      <c r="D20" s="13"/>
      <c r="E20" s="14"/>
      <c r="F20" s="15"/>
      <c r="G20" s="6"/>
      <c r="H20" s="13"/>
      <c r="I20" s="13"/>
      <c r="J20" s="13"/>
    </row>
    <row r="21" spans="1:10" ht="22.05" customHeight="1" x14ac:dyDescent="0.3">
      <c r="A21" s="2"/>
      <c r="B21" s="2"/>
      <c r="C21" s="2"/>
      <c r="D21" s="2"/>
      <c r="E21" s="4"/>
      <c r="F21" s="12"/>
      <c r="G21" s="3"/>
      <c r="H21" s="2"/>
      <c r="I21" s="2"/>
      <c r="J21" s="2"/>
    </row>
    <row r="22" spans="1:10" ht="22.05" customHeight="1" x14ac:dyDescent="0.3">
      <c r="A22" s="13"/>
      <c r="B22" s="13"/>
      <c r="C22" s="13"/>
      <c r="D22" s="13"/>
      <c r="E22" s="14"/>
      <c r="F22" s="15"/>
      <c r="G22" s="6"/>
      <c r="H22" s="13"/>
      <c r="I22" s="13"/>
      <c r="J22" s="13"/>
    </row>
    <row r="23" spans="1:10" ht="22.05" customHeight="1" x14ac:dyDescent="0.3">
      <c r="A23" s="2"/>
      <c r="B23" s="2"/>
      <c r="C23" s="2"/>
      <c r="D23" s="2"/>
      <c r="E23" s="4"/>
      <c r="F23" s="12"/>
      <c r="G23" s="3"/>
      <c r="H23" s="2"/>
      <c r="I23" s="2"/>
      <c r="J23" s="2"/>
    </row>
    <row r="24" spans="1:10" ht="22.05" customHeight="1" x14ac:dyDescent="0.3">
      <c r="A24" s="13"/>
      <c r="B24" s="13"/>
      <c r="C24" s="13"/>
      <c r="D24" s="13"/>
      <c r="E24" s="14"/>
      <c r="F24" s="15"/>
      <c r="G24" s="6"/>
      <c r="H24" s="13"/>
      <c r="I24" s="13"/>
      <c r="J24" s="13"/>
    </row>
    <row r="25" spans="1:10" ht="22.05" customHeight="1" x14ac:dyDescent="0.3">
      <c r="A25" s="2"/>
      <c r="B25" s="2"/>
      <c r="C25" s="2"/>
      <c r="D25" s="2"/>
      <c r="E25" s="4"/>
      <c r="F25" s="12"/>
      <c r="G25" s="3"/>
      <c r="H25" s="2"/>
      <c r="I25" s="2"/>
      <c r="J25" s="2"/>
    </row>
    <row r="26" spans="1:10" ht="22.05" customHeight="1" x14ac:dyDescent="0.3">
      <c r="A26" s="13"/>
      <c r="B26" s="13"/>
      <c r="C26" s="13"/>
      <c r="D26" s="13"/>
      <c r="E26" s="14"/>
      <c r="F26" s="15"/>
      <c r="G26" s="6"/>
      <c r="H26" s="13"/>
      <c r="I26" s="13"/>
      <c r="J26" s="13"/>
    </row>
    <row r="27" spans="1:10" ht="22.05" customHeight="1" x14ac:dyDescent="0.3">
      <c r="A27" s="2"/>
      <c r="B27" s="2"/>
      <c r="C27" s="2"/>
      <c r="D27" s="2"/>
      <c r="E27" s="4"/>
      <c r="F27" s="12"/>
      <c r="G27" s="3"/>
      <c r="H27" s="2"/>
      <c r="I27" s="2"/>
      <c r="J27" s="2"/>
    </row>
    <row r="28" spans="1:10" ht="22.05" customHeight="1" x14ac:dyDescent="0.3">
      <c r="A28" s="13"/>
      <c r="B28" s="13"/>
      <c r="C28" s="13"/>
      <c r="D28" s="13"/>
      <c r="E28" s="14"/>
      <c r="F28" s="15"/>
      <c r="G28" s="6"/>
      <c r="H28" s="13"/>
      <c r="I28" s="13"/>
      <c r="J28" s="13"/>
    </row>
    <row r="29" spans="1:10" ht="22.05" customHeight="1" x14ac:dyDescent="0.3">
      <c r="A29" s="2"/>
      <c r="B29" s="2"/>
      <c r="C29" s="2"/>
      <c r="D29" s="2"/>
      <c r="E29" s="4"/>
      <c r="F29" s="12"/>
      <c r="G29" s="3"/>
      <c r="H29" s="2"/>
      <c r="I29" s="2"/>
      <c r="J29" s="2"/>
    </row>
    <row r="30" spans="1:10" ht="22.05" customHeight="1" x14ac:dyDescent="0.3">
      <c r="A30" s="13"/>
      <c r="B30" s="13"/>
      <c r="C30" s="13"/>
      <c r="D30" s="13"/>
      <c r="E30" s="14"/>
      <c r="F30" s="15"/>
      <c r="G30" s="6"/>
      <c r="H30" s="13"/>
      <c r="I30" s="13"/>
      <c r="J30" s="13"/>
    </row>
    <row r="31" spans="1:10" ht="22.05" customHeight="1" x14ac:dyDescent="0.3">
      <c r="A31" s="2"/>
      <c r="B31" s="2"/>
      <c r="C31" s="2"/>
      <c r="D31" s="2"/>
      <c r="E31" s="4"/>
      <c r="F31" s="12"/>
      <c r="G31" s="3"/>
      <c r="H31" s="2"/>
      <c r="I31" s="2"/>
      <c r="J31" s="2"/>
    </row>
    <row r="32" spans="1:10" ht="22.05" customHeight="1" x14ac:dyDescent="0.3">
      <c r="A32" s="13"/>
      <c r="B32" s="13"/>
      <c r="C32" s="13"/>
      <c r="D32" s="13"/>
      <c r="E32" s="14"/>
      <c r="F32" s="15"/>
      <c r="G32" s="6"/>
      <c r="H32" s="13"/>
      <c r="I32" s="13"/>
      <c r="J32" s="13"/>
    </row>
    <row r="33" spans="1:10" ht="25.95" customHeight="1" x14ac:dyDescent="0.3">
      <c r="A33" s="62" t="s">
        <v>19</v>
      </c>
      <c r="B33" s="61"/>
      <c r="C33" s="61"/>
      <c r="D33" s="61"/>
      <c r="E33" s="61"/>
      <c r="F33" s="61"/>
      <c r="G33" s="61"/>
      <c r="H33" s="61"/>
      <c r="I33" s="61"/>
      <c r="J33" s="61"/>
    </row>
    <row r="34" spans="1:10" s="48" customFormat="1" x14ac:dyDescent="0.3">
      <c r="A34" s="48" t="s">
        <v>39</v>
      </c>
      <c r="B34" s="48" t="s">
        <v>29</v>
      </c>
      <c r="D34" s="48" t="s">
        <v>41</v>
      </c>
      <c r="E34" s="49">
        <v>46141.539930555555</v>
      </c>
      <c r="G34" s="48" t="s">
        <v>40</v>
      </c>
    </row>
  </sheetData>
  <mergeCells count="2">
    <mergeCell ref="A1:J1"/>
    <mergeCell ref="A33:J33"/>
  </mergeCells>
  <dataValidations count="1">
    <dataValidation type="list" sqref="G3:G32" xr:uid="{00000000-0002-0000-0100-000000000000}">
      <formula1>"חדש,בטיפול,בוצע"</formula1>
    </dataValidation>
  </dataValidations>
  <hyperlinks>
    <hyperlink ref="A33" location="'דף ראשי'!A1" display="← חזרה לדף ראשי" xr:uid="{00000000-0004-0000-0100-000000000000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promptTitle="בחר תיק" prompt="בחר שם תיק מהרשימה" xr:uid="{00000000-0002-0000-0100-000001000000}">
          <x14:formula1>
            <xm:f>'דף ראשי'!$A$3:$A$32</xm:f>
          </x14:formula1>
          <xm:sqref>A3:A32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33"/>
  <sheetViews>
    <sheetView rightToLeft="1" workbookViewId="0">
      <pane ySplit="2" topLeftCell="A3" activePane="bottomLeft" state="frozen"/>
      <selection pane="bottomLeft" sqref="A1:J1"/>
    </sheetView>
  </sheetViews>
  <sheetFormatPr defaultRowHeight="14.4" x14ac:dyDescent="0.3"/>
  <cols>
    <col min="1" max="1" width="24" customWidth="1"/>
    <col min="2" max="2" width="15" customWidth="1"/>
    <col min="3" max="4" width="28" customWidth="1"/>
    <col min="5" max="5" width="22" customWidth="1"/>
    <col min="6" max="7" width="14" customWidth="1"/>
    <col min="8" max="8" width="12" customWidth="1"/>
    <col min="9" max="9" width="15" customWidth="1"/>
    <col min="10" max="10" width="22" customWidth="1"/>
  </cols>
  <sheetData>
    <row r="1" spans="1:10" ht="34.049999999999997" customHeight="1" x14ac:dyDescent="0.3">
      <c r="A1" s="66" t="s">
        <v>20</v>
      </c>
      <c r="B1" s="61"/>
      <c r="C1" s="61"/>
      <c r="D1" s="61"/>
      <c r="E1" s="61"/>
      <c r="F1" s="61"/>
      <c r="G1" s="61"/>
      <c r="H1" s="61"/>
      <c r="I1" s="61"/>
      <c r="J1" s="61"/>
    </row>
    <row r="2" spans="1:10" ht="30" customHeight="1" x14ac:dyDescent="0.3">
      <c r="A2" s="16" t="s">
        <v>1</v>
      </c>
      <c r="B2" s="16" t="s">
        <v>11</v>
      </c>
      <c r="C2" s="16" t="s">
        <v>12</v>
      </c>
      <c r="D2" s="16" t="s">
        <v>13</v>
      </c>
      <c r="E2" s="16" t="s">
        <v>8</v>
      </c>
      <c r="F2" s="16" t="s">
        <v>14</v>
      </c>
      <c r="G2" s="16" t="s">
        <v>15</v>
      </c>
      <c r="H2" s="16" t="s">
        <v>16</v>
      </c>
      <c r="I2" s="16" t="s">
        <v>17</v>
      </c>
      <c r="J2" s="16" t="s">
        <v>18</v>
      </c>
    </row>
    <row r="3" spans="1:10" ht="22.05" customHeight="1" x14ac:dyDescent="0.3">
      <c r="A3" s="2" t="s">
        <v>22</v>
      </c>
      <c r="B3" s="2"/>
      <c r="C3" s="2"/>
      <c r="D3" s="2"/>
      <c r="E3" s="4">
        <v>46141.488680555558</v>
      </c>
      <c r="F3" s="12"/>
      <c r="G3" s="3" t="s">
        <v>26</v>
      </c>
      <c r="H3" s="2"/>
      <c r="I3" s="2"/>
      <c r="J3" s="2"/>
    </row>
    <row r="4" spans="1:10" ht="22.05" customHeight="1" x14ac:dyDescent="0.3">
      <c r="A4" s="17" t="s">
        <v>23</v>
      </c>
      <c r="B4" s="17"/>
      <c r="C4" s="17"/>
      <c r="D4" s="17"/>
      <c r="E4" s="18">
        <v>46141.500879629632</v>
      </c>
      <c r="F4" s="19"/>
      <c r="G4" s="7" t="s">
        <v>25</v>
      </c>
      <c r="H4" s="17"/>
      <c r="I4" s="17"/>
      <c r="J4" s="17"/>
    </row>
    <row r="5" spans="1:10" ht="22.05" customHeight="1" x14ac:dyDescent="0.3">
      <c r="A5" s="2"/>
      <c r="B5" s="2"/>
      <c r="C5" s="2"/>
      <c r="D5" s="2"/>
      <c r="E5" s="4"/>
      <c r="F5" s="12"/>
      <c r="G5" s="3"/>
      <c r="H5" s="2"/>
      <c r="I5" s="2"/>
      <c r="J5" s="2"/>
    </row>
    <row r="6" spans="1:10" ht="22.05" customHeight="1" x14ac:dyDescent="0.3">
      <c r="A6" s="17"/>
      <c r="B6" s="17"/>
      <c r="C6" s="17"/>
      <c r="D6" s="17"/>
      <c r="E6" s="18"/>
      <c r="F6" s="19"/>
      <c r="G6" s="7"/>
      <c r="H6" s="17"/>
      <c r="I6" s="17"/>
      <c r="J6" s="17"/>
    </row>
    <row r="7" spans="1:10" ht="22.05" customHeight="1" x14ac:dyDescent="0.3">
      <c r="A7" s="2"/>
      <c r="B7" s="2"/>
      <c r="C7" s="2"/>
      <c r="D7" s="2"/>
      <c r="E7" s="4"/>
      <c r="F7" s="12"/>
      <c r="G7" s="3"/>
      <c r="H7" s="2"/>
      <c r="I7" s="2"/>
      <c r="J7" s="2"/>
    </row>
    <row r="8" spans="1:10" ht="22.05" customHeight="1" x14ac:dyDescent="0.3">
      <c r="A8" s="17"/>
      <c r="B8" s="17"/>
      <c r="C8" s="17"/>
      <c r="D8" s="17"/>
      <c r="E8" s="18"/>
      <c r="F8" s="19"/>
      <c r="G8" s="7"/>
      <c r="H8" s="17"/>
      <c r="I8" s="17"/>
      <c r="J8" s="17"/>
    </row>
    <row r="9" spans="1:10" ht="22.05" customHeight="1" x14ac:dyDescent="0.3">
      <c r="A9" s="2"/>
      <c r="B9" s="2"/>
      <c r="C9" s="2"/>
      <c r="D9" s="2"/>
      <c r="E9" s="4"/>
      <c r="F9" s="12"/>
      <c r="G9" s="3"/>
      <c r="H9" s="2"/>
      <c r="I9" s="2"/>
      <c r="J9" s="2"/>
    </row>
    <row r="10" spans="1:10" ht="22.05" customHeight="1" x14ac:dyDescent="0.3">
      <c r="A10" s="17"/>
      <c r="B10" s="17"/>
      <c r="C10" s="17"/>
      <c r="D10" s="17"/>
      <c r="E10" s="18"/>
      <c r="F10" s="19"/>
      <c r="G10" s="7"/>
      <c r="H10" s="17"/>
      <c r="I10" s="17"/>
      <c r="J10" s="17"/>
    </row>
    <row r="11" spans="1:10" ht="22.05" customHeight="1" x14ac:dyDescent="0.3">
      <c r="A11" s="2"/>
      <c r="B11" s="2"/>
      <c r="C11" s="2"/>
      <c r="D11" s="2"/>
      <c r="E11" s="4"/>
      <c r="F11" s="12"/>
      <c r="G11" s="3"/>
      <c r="H11" s="2"/>
      <c r="I11" s="2"/>
      <c r="J11" s="2"/>
    </row>
    <row r="12" spans="1:10" ht="22.05" customHeight="1" x14ac:dyDescent="0.3">
      <c r="A12" s="17"/>
      <c r="B12" s="17"/>
      <c r="C12" s="17"/>
      <c r="D12" s="17"/>
      <c r="E12" s="18"/>
      <c r="F12" s="19"/>
      <c r="G12" s="7"/>
      <c r="H12" s="17"/>
      <c r="I12" s="17"/>
      <c r="J12" s="17"/>
    </row>
    <row r="13" spans="1:10" ht="22.05" customHeight="1" x14ac:dyDescent="0.3">
      <c r="A13" s="2"/>
      <c r="B13" s="2"/>
      <c r="C13" s="2"/>
      <c r="D13" s="2"/>
      <c r="E13" s="4"/>
      <c r="F13" s="12"/>
      <c r="G13" s="3"/>
      <c r="H13" s="2"/>
      <c r="I13" s="2"/>
      <c r="J13" s="2"/>
    </row>
    <row r="14" spans="1:10" ht="22.05" customHeight="1" x14ac:dyDescent="0.3">
      <c r="A14" s="17"/>
      <c r="B14" s="17"/>
      <c r="C14" s="17"/>
      <c r="D14" s="17"/>
      <c r="E14" s="18"/>
      <c r="F14" s="19"/>
      <c r="G14" s="7"/>
      <c r="H14" s="17"/>
      <c r="I14" s="17"/>
      <c r="J14" s="17"/>
    </row>
    <row r="15" spans="1:10" ht="22.05" customHeight="1" x14ac:dyDescent="0.3">
      <c r="A15" s="2"/>
      <c r="B15" s="2"/>
      <c r="C15" s="2"/>
      <c r="D15" s="2"/>
      <c r="E15" s="4"/>
      <c r="F15" s="12"/>
      <c r="G15" s="3"/>
      <c r="H15" s="2"/>
      <c r="I15" s="2"/>
      <c r="J15" s="2"/>
    </row>
    <row r="16" spans="1:10" ht="22.05" customHeight="1" x14ac:dyDescent="0.3">
      <c r="A16" s="17"/>
      <c r="B16" s="17"/>
      <c r="C16" s="17"/>
      <c r="D16" s="17"/>
      <c r="E16" s="18"/>
      <c r="F16" s="19"/>
      <c r="G16" s="7"/>
      <c r="H16" s="17"/>
      <c r="I16" s="17"/>
      <c r="J16" s="17"/>
    </row>
    <row r="17" spans="1:10" ht="22.05" customHeight="1" x14ac:dyDescent="0.3">
      <c r="A17" s="2"/>
      <c r="B17" s="2"/>
      <c r="C17" s="2"/>
      <c r="D17" s="2"/>
      <c r="E17" s="4"/>
      <c r="F17" s="12"/>
      <c r="G17" s="3"/>
      <c r="H17" s="2"/>
      <c r="I17" s="2"/>
      <c r="J17" s="2"/>
    </row>
    <row r="18" spans="1:10" ht="22.05" customHeight="1" x14ac:dyDescent="0.3">
      <c r="A18" s="17"/>
      <c r="B18" s="17"/>
      <c r="C18" s="17"/>
      <c r="D18" s="17"/>
      <c r="E18" s="18"/>
      <c r="F18" s="19"/>
      <c r="G18" s="7"/>
      <c r="H18" s="17"/>
      <c r="I18" s="17"/>
      <c r="J18" s="17"/>
    </row>
    <row r="19" spans="1:10" ht="22.05" customHeight="1" x14ac:dyDescent="0.3">
      <c r="A19" s="2"/>
      <c r="B19" s="2"/>
      <c r="C19" s="2"/>
      <c r="D19" s="2"/>
      <c r="E19" s="4"/>
      <c r="F19" s="12"/>
      <c r="G19" s="3"/>
      <c r="H19" s="2"/>
      <c r="I19" s="2"/>
      <c r="J19" s="2"/>
    </row>
    <row r="20" spans="1:10" ht="22.05" customHeight="1" x14ac:dyDescent="0.3">
      <c r="A20" s="17"/>
      <c r="B20" s="17"/>
      <c r="C20" s="17"/>
      <c r="D20" s="17"/>
      <c r="E20" s="18"/>
      <c r="F20" s="19"/>
      <c r="G20" s="7"/>
      <c r="H20" s="17"/>
      <c r="I20" s="17"/>
      <c r="J20" s="17"/>
    </row>
    <row r="21" spans="1:10" ht="22.05" customHeight="1" x14ac:dyDescent="0.3">
      <c r="A21" s="2"/>
      <c r="B21" s="2"/>
      <c r="C21" s="2"/>
      <c r="D21" s="2"/>
      <c r="E21" s="4"/>
      <c r="F21" s="12"/>
      <c r="G21" s="3"/>
      <c r="H21" s="2"/>
      <c r="I21" s="2"/>
      <c r="J21" s="2"/>
    </row>
    <row r="22" spans="1:10" ht="22.05" customHeight="1" x14ac:dyDescent="0.3">
      <c r="A22" s="17"/>
      <c r="B22" s="17"/>
      <c r="C22" s="17"/>
      <c r="D22" s="17"/>
      <c r="E22" s="18"/>
      <c r="F22" s="19"/>
      <c r="G22" s="7"/>
      <c r="H22" s="17"/>
      <c r="I22" s="17"/>
      <c r="J22" s="17"/>
    </row>
    <row r="23" spans="1:10" ht="22.05" customHeight="1" x14ac:dyDescent="0.3">
      <c r="A23" s="2"/>
      <c r="B23" s="2"/>
      <c r="C23" s="2"/>
      <c r="D23" s="2"/>
      <c r="E23" s="4"/>
      <c r="F23" s="12"/>
      <c r="G23" s="3"/>
      <c r="H23" s="2"/>
      <c r="I23" s="2"/>
      <c r="J23" s="2"/>
    </row>
    <row r="24" spans="1:10" ht="22.05" customHeight="1" x14ac:dyDescent="0.3">
      <c r="A24" s="17"/>
      <c r="B24" s="17"/>
      <c r="C24" s="17"/>
      <c r="D24" s="17"/>
      <c r="E24" s="18"/>
      <c r="F24" s="19"/>
      <c r="G24" s="7"/>
      <c r="H24" s="17"/>
      <c r="I24" s="17"/>
      <c r="J24" s="17"/>
    </row>
    <row r="25" spans="1:10" ht="22.05" customHeight="1" x14ac:dyDescent="0.3">
      <c r="A25" s="2"/>
      <c r="B25" s="2"/>
      <c r="C25" s="2"/>
      <c r="D25" s="2"/>
      <c r="E25" s="4"/>
      <c r="F25" s="12"/>
      <c r="G25" s="3"/>
      <c r="H25" s="2"/>
      <c r="I25" s="2"/>
      <c r="J25" s="2"/>
    </row>
    <row r="26" spans="1:10" ht="22.05" customHeight="1" x14ac:dyDescent="0.3">
      <c r="A26" s="17"/>
      <c r="B26" s="17"/>
      <c r="C26" s="17"/>
      <c r="D26" s="17"/>
      <c r="E26" s="18"/>
      <c r="F26" s="19"/>
      <c r="G26" s="7"/>
      <c r="H26" s="17"/>
      <c r="I26" s="17"/>
      <c r="J26" s="17"/>
    </row>
    <row r="27" spans="1:10" ht="22.05" customHeight="1" x14ac:dyDescent="0.3">
      <c r="A27" s="2"/>
      <c r="B27" s="2"/>
      <c r="C27" s="2"/>
      <c r="D27" s="2"/>
      <c r="E27" s="4"/>
      <c r="F27" s="12"/>
      <c r="G27" s="3"/>
      <c r="H27" s="2"/>
      <c r="I27" s="2"/>
      <c r="J27" s="2"/>
    </row>
    <row r="28" spans="1:10" ht="22.05" customHeight="1" x14ac:dyDescent="0.3">
      <c r="A28" s="17"/>
      <c r="B28" s="17"/>
      <c r="C28" s="17"/>
      <c r="D28" s="17"/>
      <c r="E28" s="18"/>
      <c r="F28" s="19"/>
      <c r="G28" s="7"/>
      <c r="H28" s="17"/>
      <c r="I28" s="17"/>
      <c r="J28" s="17"/>
    </row>
    <row r="29" spans="1:10" ht="22.05" customHeight="1" x14ac:dyDescent="0.3">
      <c r="A29" s="2"/>
      <c r="B29" s="2"/>
      <c r="C29" s="2"/>
      <c r="D29" s="2"/>
      <c r="E29" s="4"/>
      <c r="F29" s="12"/>
      <c r="G29" s="3"/>
      <c r="H29" s="2"/>
      <c r="I29" s="2"/>
      <c r="J29" s="2"/>
    </row>
    <row r="30" spans="1:10" ht="22.05" customHeight="1" x14ac:dyDescent="0.3">
      <c r="A30" s="17"/>
      <c r="B30" s="17"/>
      <c r="C30" s="17"/>
      <c r="D30" s="17"/>
      <c r="E30" s="18"/>
      <c r="F30" s="19"/>
      <c r="G30" s="7"/>
      <c r="H30" s="17"/>
      <c r="I30" s="17"/>
      <c r="J30" s="17"/>
    </row>
    <row r="31" spans="1:10" ht="22.05" customHeight="1" x14ac:dyDescent="0.3">
      <c r="A31" s="2"/>
      <c r="B31" s="2"/>
      <c r="C31" s="2"/>
      <c r="D31" s="2"/>
      <c r="E31" s="4"/>
      <c r="F31" s="12"/>
      <c r="G31" s="3"/>
      <c r="H31" s="2"/>
      <c r="I31" s="2"/>
      <c r="J31" s="2"/>
    </row>
    <row r="32" spans="1:10" ht="22.05" customHeight="1" x14ac:dyDescent="0.3">
      <c r="A32" s="17"/>
      <c r="B32" s="17"/>
      <c r="C32" s="17"/>
      <c r="D32" s="17"/>
      <c r="E32" s="18"/>
      <c r="F32" s="19"/>
      <c r="G32" s="7"/>
      <c r="H32" s="17"/>
      <c r="I32" s="17"/>
      <c r="J32" s="17"/>
    </row>
    <row r="33" spans="1:10" ht="25.95" customHeight="1" x14ac:dyDescent="0.3">
      <c r="A33" s="62" t="s">
        <v>19</v>
      </c>
      <c r="B33" s="61"/>
      <c r="C33" s="61"/>
      <c r="D33" s="61"/>
      <c r="E33" s="61"/>
      <c r="F33" s="61"/>
      <c r="G33" s="61"/>
      <c r="H33" s="61"/>
      <c r="I33" s="61"/>
      <c r="J33" s="61"/>
    </row>
  </sheetData>
  <mergeCells count="2">
    <mergeCell ref="A1:J1"/>
    <mergeCell ref="A33:J33"/>
  </mergeCells>
  <dataValidations xWindow="119" yWindow="600" count="1">
    <dataValidation type="list" sqref="G3:G32" xr:uid="{00000000-0002-0000-0200-000000000000}">
      <formula1>"חדש,בטיפול,בוצע"</formula1>
    </dataValidation>
  </dataValidations>
  <hyperlinks>
    <hyperlink ref="A33" location="'דף ראשי'!A1" display="← חזרה לדף ראשי" xr:uid="{00000000-0004-0000-0200-000000000000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xWindow="119" yWindow="600" count="1">
        <x14:dataValidation type="list" showInputMessage="1" promptTitle="בחר תיק" prompt="בחר שם תיק מהרשימה" xr:uid="{00000000-0002-0000-0200-000001000000}">
          <x14:formula1>
            <xm:f>'דף ראשי'!$A$3:$A$32</xm:f>
          </x14:formula1>
          <xm:sqref>A3:A32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33"/>
  <sheetViews>
    <sheetView rightToLeft="1" tabSelected="1" workbookViewId="0">
      <pane ySplit="2" topLeftCell="A3" activePane="bottomLeft" state="frozen"/>
      <selection pane="bottomLeft" activeCell="G5" sqref="G5"/>
    </sheetView>
  </sheetViews>
  <sheetFormatPr defaultRowHeight="14.4" x14ac:dyDescent="0.3"/>
  <cols>
    <col min="1" max="1" width="24" customWidth="1"/>
    <col min="2" max="2" width="15" customWidth="1"/>
    <col min="3" max="4" width="28" customWidth="1"/>
    <col min="5" max="5" width="22" customWidth="1"/>
    <col min="6" max="7" width="14" customWidth="1"/>
    <col min="8" max="8" width="12" customWidth="1"/>
    <col min="9" max="9" width="15" customWidth="1"/>
    <col min="10" max="10" width="22" customWidth="1"/>
  </cols>
  <sheetData>
    <row r="1" spans="1:10" ht="34.049999999999997" customHeight="1" x14ac:dyDescent="0.3">
      <c r="A1" s="60" t="s">
        <v>21</v>
      </c>
      <c r="B1" s="61"/>
      <c r="C1" s="61"/>
      <c r="D1" s="61"/>
      <c r="E1" s="61"/>
      <c r="F1" s="61"/>
      <c r="G1" s="61"/>
      <c r="H1" s="61"/>
      <c r="I1" s="61"/>
      <c r="J1" s="61"/>
    </row>
    <row r="2" spans="1:10" ht="30" customHeight="1" x14ac:dyDescent="0.3">
      <c r="A2" s="20" t="s">
        <v>1</v>
      </c>
      <c r="B2" s="20" t="s">
        <v>11</v>
      </c>
      <c r="C2" s="20" t="s">
        <v>12</v>
      </c>
      <c r="D2" s="20" t="s">
        <v>13</v>
      </c>
      <c r="E2" s="20" t="s">
        <v>8</v>
      </c>
      <c r="F2" s="20" t="s">
        <v>14</v>
      </c>
      <c r="G2" s="20" t="s">
        <v>15</v>
      </c>
      <c r="H2" s="20" t="s">
        <v>16</v>
      </c>
      <c r="I2" s="20" t="s">
        <v>17</v>
      </c>
      <c r="J2" s="20" t="s">
        <v>18</v>
      </c>
    </row>
    <row r="3" spans="1:10" s="54" customFormat="1" ht="22.05" customHeight="1" x14ac:dyDescent="0.3">
      <c r="A3" s="56" t="s">
        <v>44</v>
      </c>
      <c r="B3" s="56" t="s">
        <v>45</v>
      </c>
      <c r="C3" s="56"/>
      <c r="D3" s="56" t="s">
        <v>46</v>
      </c>
      <c r="E3" s="57">
        <v>46141.577881944446</v>
      </c>
      <c r="F3" s="58"/>
      <c r="G3" s="59" t="s">
        <v>25</v>
      </c>
      <c r="H3" s="56"/>
      <c r="I3" s="56"/>
      <c r="J3" s="56"/>
    </row>
    <row r="4" spans="1:10" s="48" customFormat="1" ht="22.05" customHeight="1" x14ac:dyDescent="0.3">
      <c r="A4" s="51">
        <v>4</v>
      </c>
      <c r="B4" s="51" t="s">
        <v>47</v>
      </c>
      <c r="C4" s="51"/>
      <c r="D4" s="51" t="s">
        <v>41</v>
      </c>
      <c r="E4" s="55">
        <v>46141.577708333331</v>
      </c>
      <c r="F4" s="52"/>
      <c r="G4" s="53" t="s">
        <v>40</v>
      </c>
      <c r="H4" s="51"/>
      <c r="I4" s="51"/>
      <c r="J4" s="51"/>
    </row>
    <row r="5" spans="1:10" s="54" customFormat="1" ht="22.05" customHeight="1" x14ac:dyDescent="0.3">
      <c r="A5" s="56" t="s">
        <v>48</v>
      </c>
      <c r="B5" s="56" t="s">
        <v>29</v>
      </c>
      <c r="C5" s="56"/>
      <c r="D5" s="56" t="s">
        <v>41</v>
      </c>
      <c r="E5" s="57">
        <v>46141.579108796293</v>
      </c>
      <c r="F5" s="58"/>
      <c r="G5" s="59" t="s">
        <v>26</v>
      </c>
      <c r="H5" s="56"/>
      <c r="I5" s="56"/>
      <c r="J5" s="56"/>
    </row>
    <row r="6" spans="1:10" ht="22.05" customHeight="1" x14ac:dyDescent="0.3">
      <c r="A6" s="21"/>
      <c r="B6" s="21"/>
      <c r="C6" s="21"/>
      <c r="D6" s="21"/>
      <c r="E6" s="22"/>
      <c r="F6" s="23"/>
      <c r="G6" s="8"/>
      <c r="H6" s="21"/>
      <c r="I6" s="21"/>
      <c r="J6" s="21"/>
    </row>
    <row r="7" spans="1:10" ht="22.05" customHeight="1" x14ac:dyDescent="0.3">
      <c r="A7" s="2"/>
      <c r="B7" s="2"/>
      <c r="C7" s="2"/>
      <c r="D7" s="2"/>
      <c r="E7" s="4"/>
      <c r="F7" s="12"/>
      <c r="G7" s="3"/>
      <c r="H7" s="2"/>
      <c r="I7" s="2"/>
      <c r="J7" s="2"/>
    </row>
    <row r="8" spans="1:10" ht="22.05" customHeight="1" x14ac:dyDescent="0.3">
      <c r="A8" s="21"/>
      <c r="B8" s="21"/>
      <c r="C8" s="21"/>
      <c r="D8" s="21"/>
      <c r="E8" s="22"/>
      <c r="F8" s="23"/>
      <c r="G8" s="8"/>
      <c r="H8" s="21"/>
      <c r="I8" s="21"/>
      <c r="J8" s="21"/>
    </row>
    <row r="9" spans="1:10" ht="22.05" customHeight="1" x14ac:dyDescent="0.3">
      <c r="A9" s="2"/>
      <c r="B9" s="2"/>
      <c r="C9" s="2"/>
      <c r="D9" s="2"/>
      <c r="E9" s="4"/>
      <c r="F9" s="12"/>
      <c r="G9" s="3"/>
      <c r="H9" s="2"/>
      <c r="I9" s="2"/>
      <c r="J9" s="2"/>
    </row>
    <row r="10" spans="1:10" ht="22.05" customHeight="1" x14ac:dyDescent="0.3">
      <c r="A10" s="21"/>
      <c r="B10" s="21"/>
      <c r="C10" s="21"/>
      <c r="D10" s="21"/>
      <c r="E10" s="22"/>
      <c r="F10" s="23"/>
      <c r="G10" s="8"/>
      <c r="H10" s="21"/>
      <c r="I10" s="21"/>
      <c r="J10" s="21"/>
    </row>
    <row r="11" spans="1:10" ht="22.05" customHeight="1" x14ac:dyDescent="0.3">
      <c r="A11" s="2"/>
      <c r="B11" s="2"/>
      <c r="C11" s="2"/>
      <c r="D11" s="2"/>
      <c r="E11" s="4"/>
      <c r="F11" s="12"/>
      <c r="G11" s="3"/>
      <c r="H11" s="2"/>
      <c r="I11" s="2"/>
      <c r="J11" s="2"/>
    </row>
    <row r="12" spans="1:10" ht="22.05" customHeight="1" x14ac:dyDescent="0.3">
      <c r="A12" s="21"/>
      <c r="B12" s="21"/>
      <c r="C12" s="21"/>
      <c r="D12" s="21"/>
      <c r="E12" s="22"/>
      <c r="F12" s="23"/>
      <c r="G12" s="8"/>
      <c r="H12" s="21"/>
      <c r="I12" s="21"/>
      <c r="J12" s="21"/>
    </row>
    <row r="13" spans="1:10" ht="22.05" customHeight="1" x14ac:dyDescent="0.3">
      <c r="A13" s="2"/>
      <c r="B13" s="2"/>
      <c r="C13" s="2"/>
      <c r="D13" s="2"/>
      <c r="E13" s="4"/>
      <c r="F13" s="12"/>
      <c r="G13" s="3"/>
      <c r="H13" s="2"/>
      <c r="I13" s="2"/>
      <c r="J13" s="2"/>
    </row>
    <row r="14" spans="1:10" ht="22.05" customHeight="1" x14ac:dyDescent="0.3">
      <c r="A14" s="21"/>
      <c r="B14" s="21"/>
      <c r="C14" s="21"/>
      <c r="D14" s="21"/>
      <c r="E14" s="22"/>
      <c r="F14" s="23"/>
      <c r="G14" s="8"/>
      <c r="H14" s="21"/>
      <c r="I14" s="21"/>
      <c r="J14" s="21"/>
    </row>
    <row r="15" spans="1:10" ht="22.05" customHeight="1" x14ac:dyDescent="0.3">
      <c r="A15" s="2"/>
      <c r="B15" s="2"/>
      <c r="C15" s="2"/>
      <c r="D15" s="2"/>
      <c r="E15" s="4"/>
      <c r="F15" s="12"/>
      <c r="G15" s="3"/>
      <c r="H15" s="2"/>
      <c r="I15" s="2"/>
      <c r="J15" s="2"/>
    </row>
    <row r="16" spans="1:10" ht="22.05" customHeight="1" x14ac:dyDescent="0.3">
      <c r="A16" s="21"/>
      <c r="B16" s="21"/>
      <c r="C16" s="21"/>
      <c r="D16" s="21"/>
      <c r="E16" s="22"/>
      <c r="F16" s="23"/>
      <c r="G16" s="8"/>
      <c r="H16" s="21"/>
      <c r="I16" s="21"/>
      <c r="J16" s="21"/>
    </row>
    <row r="17" spans="1:10" ht="22.05" customHeight="1" x14ac:dyDescent="0.3">
      <c r="A17" s="2"/>
      <c r="B17" s="2"/>
      <c r="C17" s="2"/>
      <c r="D17" s="2"/>
      <c r="E17" s="4"/>
      <c r="F17" s="12"/>
      <c r="G17" s="3"/>
      <c r="H17" s="2"/>
      <c r="I17" s="2"/>
      <c r="J17" s="2"/>
    </row>
    <row r="18" spans="1:10" ht="22.05" customHeight="1" x14ac:dyDescent="0.3">
      <c r="A18" s="21"/>
      <c r="B18" s="21"/>
      <c r="C18" s="21"/>
      <c r="D18" s="21"/>
      <c r="E18" s="22"/>
      <c r="F18" s="23"/>
      <c r="G18" s="8"/>
      <c r="H18" s="21"/>
      <c r="I18" s="21"/>
      <c r="J18" s="21"/>
    </row>
    <row r="19" spans="1:10" ht="22.05" customHeight="1" x14ac:dyDescent="0.3">
      <c r="A19" s="2"/>
      <c r="B19" s="2"/>
      <c r="C19" s="2"/>
      <c r="D19" s="2"/>
      <c r="E19" s="4"/>
      <c r="F19" s="12"/>
      <c r="G19" s="3"/>
      <c r="H19" s="2"/>
      <c r="I19" s="2"/>
      <c r="J19" s="2"/>
    </row>
    <row r="20" spans="1:10" ht="22.05" customHeight="1" x14ac:dyDescent="0.3">
      <c r="A20" s="21"/>
      <c r="B20" s="21"/>
      <c r="C20" s="21"/>
      <c r="D20" s="21"/>
      <c r="E20" s="22"/>
      <c r="F20" s="23"/>
      <c r="G20" s="8"/>
      <c r="H20" s="21"/>
      <c r="I20" s="21"/>
      <c r="J20" s="21"/>
    </row>
    <row r="21" spans="1:10" ht="22.05" customHeight="1" x14ac:dyDescent="0.3">
      <c r="A21" s="2"/>
      <c r="B21" s="2"/>
      <c r="C21" s="2"/>
      <c r="D21" s="2"/>
      <c r="E21" s="4"/>
      <c r="F21" s="12"/>
      <c r="G21" s="3"/>
      <c r="H21" s="2"/>
      <c r="I21" s="2"/>
      <c r="J21" s="2"/>
    </row>
    <row r="22" spans="1:10" ht="22.05" customHeight="1" x14ac:dyDescent="0.3">
      <c r="A22" s="21"/>
      <c r="B22" s="21"/>
      <c r="C22" s="21"/>
      <c r="D22" s="21"/>
      <c r="E22" s="22"/>
      <c r="F22" s="23"/>
      <c r="G22" s="8"/>
      <c r="H22" s="21"/>
      <c r="I22" s="21"/>
      <c r="J22" s="21"/>
    </row>
    <row r="23" spans="1:10" ht="22.05" customHeight="1" x14ac:dyDescent="0.3">
      <c r="A23" s="2"/>
      <c r="B23" s="2"/>
      <c r="C23" s="2"/>
      <c r="D23" s="2"/>
      <c r="E23" s="4"/>
      <c r="F23" s="12"/>
      <c r="G23" s="3"/>
      <c r="H23" s="2"/>
      <c r="I23" s="2"/>
      <c r="J23" s="2"/>
    </row>
    <row r="24" spans="1:10" ht="22.05" customHeight="1" x14ac:dyDescent="0.3">
      <c r="A24" s="21"/>
      <c r="B24" s="21"/>
      <c r="C24" s="21"/>
      <c r="D24" s="21"/>
      <c r="E24" s="22"/>
      <c r="F24" s="23"/>
      <c r="G24" s="8"/>
      <c r="H24" s="21"/>
      <c r="I24" s="21"/>
      <c r="J24" s="21"/>
    </row>
    <row r="25" spans="1:10" ht="22.05" customHeight="1" x14ac:dyDescent="0.3">
      <c r="A25" s="2"/>
      <c r="B25" s="2"/>
      <c r="C25" s="2"/>
      <c r="D25" s="2"/>
      <c r="E25" s="4"/>
      <c r="F25" s="12"/>
      <c r="G25" s="3"/>
      <c r="H25" s="2"/>
      <c r="I25" s="2"/>
      <c r="J25" s="2"/>
    </row>
    <row r="26" spans="1:10" ht="22.05" customHeight="1" x14ac:dyDescent="0.3">
      <c r="A26" s="21"/>
      <c r="B26" s="21"/>
      <c r="C26" s="21"/>
      <c r="D26" s="21"/>
      <c r="E26" s="22"/>
      <c r="F26" s="23"/>
      <c r="G26" s="8"/>
      <c r="H26" s="21"/>
      <c r="I26" s="21"/>
      <c r="J26" s="21"/>
    </row>
    <row r="27" spans="1:10" ht="22.05" customHeight="1" x14ac:dyDescent="0.3">
      <c r="A27" s="2"/>
      <c r="B27" s="2"/>
      <c r="C27" s="2"/>
      <c r="D27" s="2"/>
      <c r="E27" s="4"/>
      <c r="F27" s="12"/>
      <c r="G27" s="3"/>
      <c r="H27" s="2"/>
      <c r="I27" s="2"/>
      <c r="J27" s="2"/>
    </row>
    <row r="28" spans="1:10" ht="22.05" customHeight="1" x14ac:dyDescent="0.3">
      <c r="A28" s="21"/>
      <c r="B28" s="21"/>
      <c r="C28" s="21"/>
      <c r="D28" s="21"/>
      <c r="E28" s="22"/>
      <c r="F28" s="23"/>
      <c r="G28" s="8"/>
      <c r="H28" s="21"/>
      <c r="I28" s="21"/>
      <c r="J28" s="21"/>
    </row>
    <row r="29" spans="1:10" ht="22.05" customHeight="1" x14ac:dyDescent="0.3">
      <c r="A29" s="2"/>
      <c r="B29" s="2"/>
      <c r="C29" s="2"/>
      <c r="D29" s="2"/>
      <c r="E29" s="4"/>
      <c r="F29" s="12"/>
      <c r="G29" s="3"/>
      <c r="H29" s="2"/>
      <c r="I29" s="2"/>
      <c r="J29" s="2"/>
    </row>
    <row r="30" spans="1:10" ht="22.05" customHeight="1" x14ac:dyDescent="0.3">
      <c r="A30" s="21"/>
      <c r="B30" s="21"/>
      <c r="C30" s="21"/>
      <c r="D30" s="21"/>
      <c r="E30" s="22"/>
      <c r="F30" s="23"/>
      <c r="G30" s="8"/>
      <c r="H30" s="21"/>
      <c r="I30" s="21"/>
      <c r="J30" s="21"/>
    </row>
    <row r="31" spans="1:10" ht="22.05" customHeight="1" x14ac:dyDescent="0.3">
      <c r="A31" s="2"/>
      <c r="B31" s="2"/>
      <c r="C31" s="2"/>
      <c r="D31" s="2"/>
      <c r="E31" s="4"/>
      <c r="F31" s="12"/>
      <c r="G31" s="3"/>
      <c r="H31" s="2"/>
      <c r="I31" s="2"/>
      <c r="J31" s="2"/>
    </row>
    <row r="32" spans="1:10" ht="22.05" customHeight="1" x14ac:dyDescent="0.3">
      <c r="A32" s="21"/>
      <c r="B32" s="21"/>
      <c r="C32" s="21"/>
      <c r="D32" s="21"/>
      <c r="E32" s="22"/>
      <c r="F32" s="23"/>
      <c r="G32" s="8"/>
      <c r="H32" s="21"/>
      <c r="I32" s="21"/>
      <c r="J32" s="21"/>
    </row>
    <row r="33" spans="1:10" ht="25.95" customHeight="1" x14ac:dyDescent="0.3">
      <c r="A33" s="62" t="s">
        <v>19</v>
      </c>
      <c r="B33" s="61"/>
      <c r="C33" s="61"/>
      <c r="D33" s="61"/>
      <c r="E33" s="61"/>
      <c r="F33" s="61"/>
      <c r="G33" s="61"/>
      <c r="H33" s="61"/>
      <c r="I33" s="61"/>
      <c r="J33" s="61"/>
    </row>
  </sheetData>
  <mergeCells count="2">
    <mergeCell ref="A1:J1"/>
    <mergeCell ref="A33:J33"/>
  </mergeCells>
  <dataValidations count="1">
    <dataValidation type="list" sqref="G3:G32" xr:uid="{00000000-0002-0000-0300-000000000000}">
      <formula1>"חדש,בטיפול,בוצע"</formula1>
    </dataValidation>
  </dataValidations>
  <hyperlinks>
    <hyperlink ref="A33" location="'דף ראשי'!A1" display="← חזרה לדף ראשי" xr:uid="{00000000-0004-0000-0300-000000000000}"/>
  </hyperlink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promptTitle="בחר תיק" prompt="בחר שם תיק מהרשימה" xr:uid="{00000000-0002-0000-0300-000001000000}">
          <x14:formula1>
            <xm:f>'דף ראשי'!$A$3:$A$32</xm:f>
          </x14:formula1>
          <xm:sqref>A3:A32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ענת</vt:lpstr>
      <vt:lpstr>דף ראשי</vt:lpstr>
      <vt:lpstr>ארז</vt:lpstr>
      <vt:lpstr>הדר</vt:lpstr>
      <vt:lpstr>אפרת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David Ferber</cp:lastModifiedBy>
  <dcterms:created xsi:type="dcterms:W3CDTF">2026-04-29T08:40:15Z</dcterms:created>
  <dcterms:modified xsi:type="dcterms:W3CDTF">2026-04-29T10:57:38Z</dcterms:modified>
</cp:coreProperties>
</file>